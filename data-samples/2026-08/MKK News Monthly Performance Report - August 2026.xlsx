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 Executive Summary" sheetId="1" r:id="rId5"/>
    <sheet state="visible" name="02 Article Performance" sheetId="2" r:id="rId6"/>
    <sheet state="visible" name="03 Publishing Log" sheetId="3" r:id="rId7"/>
    <sheet state="visible" name="04 Metric Guide" sheetId="4" r:id="rId8"/>
    <sheet state="visible" name="Ref" sheetId="5" r:id="rId9"/>
  </sheets>
  <definedNames/>
  <calcPr/>
</workbook>
</file>

<file path=xl/sharedStrings.xml><?xml version="1.0" encoding="utf-8"?>
<sst xmlns="http://schemas.openxmlformats.org/spreadsheetml/2006/main" count="678" uniqueCount="220">
  <si>
    <t>PUBLISHING LOG</t>
  </si>
  <si>
    <t>NEWS ARTICLE PERFORMANCE</t>
  </si>
  <si>
    <t>METRIC GUIDE</t>
  </si>
  <si>
    <t>Main ke Kudus · Client-facing publishing record</t>
  </si>
  <si>
    <t>How to read the editorial delivery metrics used in this report</t>
  </si>
  <si>
    <t>PUBLISHED</t>
  </si>
  <si>
    <t>Metric</t>
  </si>
  <si>
    <t>Definition</t>
  </si>
  <si>
    <t>Why it matters</t>
  </si>
  <si>
    <t>MONTHLY QUOTA</t>
  </si>
  <si>
    <t>ACHIEVEMENT</t>
  </si>
  <si>
    <t>Articles Published</t>
  </si>
  <si>
    <t>Number of July content items with Publish status.</t>
  </si>
  <si>
    <t>REMAINING QUOTA</t>
  </si>
  <si>
    <t>Measures completed editorial output.</t>
  </si>
  <si>
    <t>Total Article Views</t>
  </si>
  <si>
    <t>Sum of GA4 Views for the exact July-published URLs during 1–31 July 2026.</t>
  </si>
  <si>
    <t>Primary readership-volume metric for this monthly report.</t>
  </si>
  <si>
    <t>Views</t>
  </si>
  <si>
    <t>Number of page views recorded for an individual article/page.</t>
  </si>
  <si>
    <t>Shows how often the content page was viewed.</t>
  </si>
  <si>
    <t>Active Users</t>
  </si>
  <si>
    <t>Users who engaged with the specific page according to GA4.</t>
  </si>
  <si>
    <t>Useful per article; should not be summed across pages as a unique site-wide audience.</t>
  </si>
  <si>
    <t>Views / User</t>
  </si>
  <si>
    <t>Views divided by Active Users for the page.</t>
  </si>
  <si>
    <t>Shows repeat consumption at page level.</t>
  </si>
  <si>
    <t>Avg Engagement</t>
  </si>
  <si>
    <t>Average engagement time per active user for the page.</t>
  </si>
  <si>
    <t>Shows depth of attention, not just page opens.</t>
  </si>
  <si>
    <t>Monthly Quota</t>
  </si>
  <si>
    <t>Planned number of news/editorial items for the month.</t>
  </si>
  <si>
    <t>Provides the delivery target.</t>
  </si>
  <si>
    <t>Achievement</t>
  </si>
  <si>
    <t>Articles Published ÷ Monthly Quota.</t>
  </si>
  <si>
    <t>Shows how much of the monthly delivery target was completed.</t>
  </si>
  <si>
    <t>Content Type</t>
  </si>
  <si>
    <t>Editorial classification such as Features or Editorial.</t>
  </si>
  <si>
    <t>Shows the balance of story formats.</t>
  </si>
  <si>
    <t>Category Mix</t>
  </si>
  <si>
    <t>Distribution of published content across editorial categories.</t>
  </si>
  <si>
    <t>Shows breadth and concentration of coverage.</t>
  </si>
  <si>
    <t>REPORTING METHODOLOGY</t>
  </si>
  <si>
    <t>Data source: Google Analytics supplied for the July 2026 report.</t>
  </si>
  <si>
    <t>Category</t>
  </si>
  <si>
    <t>Reporter</t>
  </si>
  <si>
    <t>No.</t>
  </si>
  <si>
    <t>Status</t>
  </si>
  <si>
    <t>Method</t>
  </si>
  <si>
    <t>Publish Date</t>
  </si>
  <si>
    <t>Type</t>
  </si>
  <si>
    <t>Headline</t>
  </si>
  <si>
    <t>Contributor</t>
  </si>
  <si>
    <t>Article URL</t>
  </si>
  <si>
    <t>Report Settings</t>
  </si>
  <si>
    <t>GA4 Match</t>
  </si>
  <si>
    <t>Value</t>
  </si>
  <si>
    <t>Month</t>
  </si>
  <si>
    <t>Year</t>
  </si>
  <si>
    <t>Akomodasi</t>
  </si>
  <si>
    <t>Redaksi MKK</t>
  </si>
  <si>
    <t>Draft</t>
  </si>
  <si>
    <t>Event</t>
  </si>
  <si>
    <t>Hard News</t>
  </si>
  <si>
    <t>Dani</t>
  </si>
  <si>
    <t>Reporting Period</t>
  </si>
  <si>
    <t>August</t>
  </si>
  <si>
    <t>Arena</t>
  </si>
  <si>
    <t>Review</t>
  </si>
  <si>
    <t>Remote</t>
  </si>
  <si>
    <t>Features</t>
  </si>
  <si>
    <t>Fatur</t>
  </si>
  <si>
    <t>Atlet</t>
  </si>
  <si>
    <t>FZ</t>
  </si>
  <si>
    <t>Publish</t>
  </si>
  <si>
    <t>Editorial</t>
  </si>
  <si>
    <t>Hasyim</t>
  </si>
  <si>
    <t>Coverage Area</t>
  </si>
  <si>
    <t>Kudus, Central Java, Indonesia</t>
  </si>
  <si>
    <t>Atraksi</t>
  </si>
  <si>
    <t>Muria Trail Run 2026, Berlari dengan Konsep Wisata Olahraga Ramah Lingkungan</t>
  </si>
  <si>
    <t>Henri</t>
  </si>
  <si>
    <t>Kegiatan</t>
  </si>
  <si>
    <t>Itun</t>
  </si>
  <si>
    <t>Kesehatan</t>
  </si>
  <si>
    <t>https://mainkekudus.com/news/muria-trail-run-2026-berlari-dengan-konsep-wisata-olahraga-ramah-lingkungan</t>
  </si>
  <si>
    <t>Iwhan</t>
  </si>
  <si>
    <t>Komunitas</t>
  </si>
  <si>
    <t>Jemmy</t>
  </si>
  <si>
    <t>Kuliner</t>
  </si>
  <si>
    <t>Subur</t>
  </si>
  <si>
    <t>Olahraga</t>
  </si>
  <si>
    <t>BRO</t>
  </si>
  <si>
    <t>Tentang Kudus</t>
  </si>
  <si>
    <t>OEB</t>
  </si>
  <si>
    <t>Pelatih</t>
  </si>
  <si>
    <t>Matched</t>
  </si>
  <si>
    <t>Perlengkapan</t>
  </si>
  <si>
    <t>YSR</t>
  </si>
  <si>
    <t>Profil</t>
  </si>
  <si>
    <t>RND</t>
  </si>
  <si>
    <t>DV</t>
  </si>
  <si>
    <t>Fatur, Itun</t>
  </si>
  <si>
    <t>Supersoccer Euro Futsal Championship 2026 - City Playoff Kudus Perkuat Persaingan Antar Kota di Kudus</t>
  </si>
  <si>
    <t>https://mainkekudus.com/news/supersoccer-euro-futsal-championship-2026-city-playoff-kudus-perkuat-persaingan-antar-kota-di-kudus</t>
  </si>
  <si>
    <t>Ajang Tanding Tahunan Komunitas Futsal di Kudus dan Daerah Sekitarnya</t>
  </si>
  <si>
    <t>https://mainkekudus.com/news/ajang-tanding-tahunan-komunitas-futsal-di-kudus-dan-daerah-sekitarnya</t>
  </si>
  <si>
    <t>Peran Pelatih Panahan Membentuk Karakter Atlet Sejak Dini</t>
  </si>
  <si>
    <t>https://mainkekudus.com/news/peran-pelatih-panahan-membentuk-karakter-atlet-sejak-dini</t>
  </si>
  <si>
    <t>Street Coffee, Tren Ngopi Pinggir Jalan Menambah Khas Kuliner Malam Kudus</t>
  </si>
  <si>
    <t>https://mainkekudus.com/news/street-coffee-tren-ngopi-pinggir-jalan-menambah-khas-kuliner-malam-kudus</t>
  </si>
  <si>
    <t>Rank Sport Kudus Lengkapi Kebutuhan Olahraga di Kota yang Semakin Aktif</t>
  </si>
  <si>
    <t>https://mainkekudus.com/gears/rank-sport-kudus</t>
  </si>
  <si>
    <t>Muria Trail Run Berikan Pengalaman yang Bikin Pelari Ingin Balik Lagi dan Lagi</t>
  </si>
  <si>
    <t>https://mainkekudus.com/news/muria-trail-run-berikan-pengalaman-yang-bikin-pelari-ingin-balik-lagi-dan-lagi</t>
  </si>
  <si>
    <t xml:space="preserve">10 Fakta Tentang Kudus yang Membuatnya Unik dan Berbeda dengan Daerah Lainnya
</t>
  </si>
  <si>
    <t>https://mainkekudus.com/news/10-fakta-tentang-kudus-yang-membuatnya-unik-dan-berbeda-dengan-daerah-lainnya</t>
  </si>
  <si>
    <t xml:space="preserve">7 Kuliner Khas yang Wajib Dicoba Saat Berkunjung ke Kudus </t>
  </si>
  <si>
    <t>https://mainkekudus.com/news/7-kuliner-khas-yang-wajib-dicoba-saat-berkunjung-ke-kudus</t>
  </si>
  <si>
    <t>HYDROPLUS Bupati Cup XX 2026 Menambah Jam Terbang Atlet Bulu Tangkis Kudus</t>
  </si>
  <si>
    <t>https://mainkekudus.com/news/hydroplus-bupati-cup-xx-2026-menambah-jam-terbang-atlet-bulu-tangkis-kudus</t>
  </si>
  <si>
    <t>10 Fakta Tentang Kudus yang Membuatnya Unik dan Berbeda dengan Daerah Lainnya</t>
  </si>
  <si>
    <t>Super Elite Karate Kudus Gembleng Atlet dari Dojo hingga Podium</t>
  </si>
  <si>
    <t>https://mainkekudus.com/communities/super-elite-karate-kudus</t>
  </si>
  <si>
    <t>7 Kuliner Khas yang Wajib Dicoba Saat Berkunjung ke Kudus</t>
  </si>
  <si>
    <t>Rodalink Kudus, One Stop Service untuk Semua Kebutuhan Pesepeda</t>
  </si>
  <si>
    <t>https://mainkekudus.com/gears/rodalink</t>
  </si>
  <si>
    <t>PB Djarum Melahirkan Legenda Bulu Tangkis Indonesia dan Regenerasi Atlet</t>
  </si>
  <si>
    <t>https://mainkekudus.com/communities/pbdjarumofficial</t>
  </si>
  <si>
    <t>GOR Djarum Tempat Atlet Masa Depan Bulu Tangkis Ditempa</t>
  </si>
  <si>
    <t>https://mainkekudus.com/venues/gor-djarum-badminton</t>
  </si>
  <si>
    <t>Museum Kretek Menjaga Cerita Asal-usul Hingga Perkembangan Industri Kretek</t>
  </si>
  <si>
    <t>https://mainkekudus.com/attractions/museum-kretek</t>
  </si>
  <si>
    <t>Penginapan di Rahtawu Tumbuh Bersama Wisata Desa di Lereng Gunung Muria</t>
  </si>
  <si>
    <t>https://mainkekudus.com/news/penginapan-di-rahtawu-tumbuh-bersama-wisata-desa-di-lereng-gunung-muria</t>
  </si>
  <si>
    <t>Ruang Publik di Kudus Disulap Bernuansa Sepak Bola Selama Berlangsung Caffino Srikandi Merdeka Cup</t>
  </si>
  <si>
    <t>https://mainkekudus.com/news/ruang-publik-di-kudus-disulap-bernuansa-sepak-bola-selama-berlangsung-caffino-srikandi-merdeka-cup</t>
  </si>
  <si>
    <t>Kudus, Ini Kesan Pertama Tim Yordania, Singapura, dan Hong Kong, China</t>
  </si>
  <si>
    <t>https://mainkekudus.com/news/kudus-ini-kesan-pertama-tim-yordania-singapura-dan-hong-kong-china</t>
  </si>
  <si>
    <t>ARTICLES PUBLISHED</t>
  </si>
  <si>
    <t>TOTAL ARTICLE VIEWS</t>
  </si>
  <si>
    <t>GA4 URL MATCH</t>
  </si>
  <si>
    <t>Griptha Menjadi Rumah bagi Empat Negara Selama di Kudus</t>
  </si>
  <si>
    <t>https://mainkekudus.com/accommodations/hotel-griptha</t>
  </si>
  <si>
    <t>Hotel Mansionite Menghadirkan Nuansa Jepang di Tengah Berkembangnya Pariwisata Kudus</t>
  </si>
  <si>
    <t>https://mainkekudus.com/accommodations/mansionite-hotel</t>
  </si>
  <si>
    <t>Menikmati Sate Kerbau Pak Bambang untuk Makan Siang di Kudus</t>
  </si>
  <si>
    <t>https://mainkekudus.com/culinaries/sate-kerbau-sederhana-pak-bambang</t>
  </si>
  <si>
    <t>Nasi Pindang H. Sulichan, Olahan Daging Kerbau Berkuah Khas Kudus</t>
  </si>
  <si>
    <t>https://mainkekudus.com/culinaries/soto-pindang-kudus-haji-sulichan</t>
  </si>
  <si>
    <t xml:space="preserve">Mengenal Djarum Arena, Lokasi Penyelenggaraan HYDROPLUS Bupati Cup XX 2026
</t>
  </si>
  <si>
    <t>https://mainkekudus.com/venues/djarum-arena-kaliputu</t>
  </si>
  <si>
    <t>Horison IJ Menjadi Tempat Tinggal Timnas Putri U-16 Yordania di Kudus </t>
  </si>
  <si>
    <t>https://mainkekudus.com/accommodations/hotel-horison-ij-kudus</t>
  </si>
  <si>
    <t>Memulai Pagi dengan Sarapan Khas Kudus, Lentog Tanjung Pak Di</t>
  </si>
  <si>
    <t>https://mainkekudus.com/culinaries/lentog-tanjung-pak-di</t>
  </si>
  <si>
    <t>TOP PERFORMING ARTICLE</t>
  </si>
  <si>
    <t>5 Rekomendasi Soto Kudus yang Wajib Dicoba Saat Berkunjung ke Kudus</t>
  </si>
  <si>
    <t>https://mainkekudus.com/news/5-rekomendasi-soto-kudus-yang-wajib-dicoba-saat-berkunjung-ke-kudus</t>
  </si>
  <si>
    <t>HYDROPLUS Bupati Cup XX 2026 Pertemukan Atlet Berbagai Kelompok Usia</t>
  </si>
  <si>
    <t>https://mainkekudus.com/news/hydroplus-bupati-cup-xx-2026-pertemukan-atlet-berbagai-kelompok-usia</t>
  </si>
  <si>
    <t>VIEWS</t>
  </si>
  <si>
    <t>OEB, FZ, YSR</t>
  </si>
  <si>
    <t>AVG ENGAGEMENT</t>
  </si>
  <si>
    <t xml:space="preserve">Timnas Malaysia dan Hong Kong, China Terkesan dengan Jenang dan Batik Kudus
</t>
  </si>
  <si>
    <t>https://mainkekudus.com/news/timnas-malaysia-dan-hong-kong-china-terkesan-dengan-jenang-dan-batik-kudus</t>
  </si>
  <si>
    <t>DN</t>
  </si>
  <si>
    <t>Intip Keseruan Srikandi Fair, Semarakkan Turnamen Internasional Libatkan Warga Kudus</t>
  </si>
  <si>
    <t>https://mainkekudus.com/news/intip-keseruan-srikandi-fair-semarakkan-turnamen-internasional-libatkan-warga-kudus</t>
  </si>
  <si>
    <t>Timnas Putri U-16 Yordania Berkunjung ke Srikandi Fair Jelang Semifinal</t>
  </si>
  <si>
    <t>https://mainkekudus.com/news/timnas-putri-u-16-yordania-berkunjung-ke-srikandi-fair-jelang-semifinal</t>
  </si>
  <si>
    <t>WHAT THE DELIVERY SAYS</t>
  </si>
  <si>
    <t>Bangga Perjuangkan Merah Putih di Caffino Srikandi Merdeka Cup 2026</t>
  </si>
  <si>
    <t>https://mainkekudus.com/news/bangga-perjuangkan-merah-putih-di-caffino-srikandi-merdeka-cup-2026</t>
  </si>
  <si>
    <t>Antusias Suporter Kudus Dukung Garuda Pertiwi, Nonton Langsung Hingga Berburu Nobar Layar Lebar</t>
  </si>
  <si>
    <t>https://mainkekudus.com/news/antusias-suporter-kudus-dukung-garuda-pertiwi-nonton-langsung-hingga-berburu-nobar-layar-lebar</t>
  </si>
  <si>
    <t>RND, DV</t>
  </si>
  <si>
    <t xml:space="preserve">Cerita Haru Pemuda Kudus Pembentang Bendera saat Lagu Indonesia Raya Berkumandang di Caffino Srikandi Merdeka Cup
</t>
  </si>
  <si>
    <t>https://mainkekudus.com/news/cerita-haru-pemuda-kudus-pembentang-bendera-saat-lagu-indonesia-raya-berkumandang-di-caffino-srikandi-merdeka-cup</t>
  </si>
  <si>
    <t xml:space="preserve">Ketika Olahraga dan Seni Menyatu dalam Pesta Rakyat Srikandi Fair
</t>
  </si>
  <si>
    <t>https://mainkekudus.com/news/ketika-olahraga-dan-seni-menyatu-dalam-pesta-rakyat-srikandi-fair</t>
  </si>
  <si>
    <t>Mengenal Djarum Arena, Lokasi Penyelenggaraan HYDROPLUS Bupati Cup XX 2026</t>
  </si>
  <si>
    <t>Memupuk Semangat Bulu Tangkis di Hydroplus Bupati Cup XX 2026</t>
  </si>
  <si>
    <t>https://mainkekudus.com/news/memupuk-semangat-bulu-tangkis-di-hydroplus-bupati-cup-xx-2026</t>
  </si>
  <si>
    <t>OEB, YSR, FZ</t>
  </si>
  <si>
    <t>Orang-orang yang Menemani Para Srikandi Selama di Kudus</t>
  </si>
  <si>
    <t>https://mainkekudus.com/news/orang-orang-yang-menemani-para-srikandi-selama-di-kudus</t>
  </si>
  <si>
    <t>Horison IJ Menjadi Tempat Tinggal Timnas Putri U-16 Yordania di Kudus</t>
  </si>
  <si>
    <t>Dari Tribun, Mereka Menjadi Bagian dari Caffino Srikandi Merdeka Cup</t>
  </si>
  <si>
    <t>https://mainkekudus.com/news/dari-tribun-mereka-menjadi-bagian-dari-caffino-srikandi-merdeka-cup</t>
  </si>
  <si>
    <t>CONTENT BREAKDOWN</t>
  </si>
  <si>
    <t>Dari Spegaku Balistha, Dua Pemain Muda Asal Kudus Menembus Level Tim Nasional</t>
  </si>
  <si>
    <t>https://mainkekudus.com/communities/spegaku-balistha</t>
  </si>
  <si>
    <t>OEB, YSR</t>
  </si>
  <si>
    <t xml:space="preserve">Warisan Caffino Srikandi Merdeka Cup untuk Kudus dan Sepak Bola Putri Indonesia
</t>
  </si>
  <si>
    <t>https://mainkekudus.com/news/warisan-caffino-srikandi-merdeka-cup-untuk-kudus-dan-sepak-bola-putri-indonesia</t>
  </si>
  <si>
    <t>Jemmy, Itun</t>
  </si>
  <si>
    <t>Published</t>
  </si>
  <si>
    <t>Sapphire Boutique Hotel Hadirkan Pengalaman Unik bagi Timnas Putri U-16 Singapura dan Arab Saudi</t>
  </si>
  <si>
    <t>https://mainkekudus.com/news/sapphire-boutique-hotel-hadirkan-pengalaman-unik-bagi-timnas-putri-u-16-singapura-dan-arab-saudi</t>
  </si>
  <si>
    <t>Share of Published</t>
  </si>
  <si>
    <t>Articles</t>
  </si>
  <si>
    <t>Share of Quota</t>
  </si>
  <si>
    <t xml:space="preserve">Turnamen Internasional Mendatangkan Aktivitas Ekonomi hingga ke Toko Olahraga
</t>
  </si>
  <si>
    <t>https://mainkekudus.com/news/turnamen-internasional-mendatangkan-aktivitas-ekonomi-hingga-ke-toko-olahraga</t>
  </si>
  <si>
    <t>Timnas Malaysia dan Hong Kong, China Terkesan dengan Jenang dan Batik Kudus</t>
  </si>
  <si>
    <t>Independence Futsal League, Asah Keterampilan Bertanding Para Pelajar di GOR Bung Karno Kudus</t>
  </si>
  <si>
    <t>https://mainkekudus.com/news/independence-futsal-league-asah-keterampilan-bertanding-para-pelajar-di-gor-bung-karno-kudus</t>
  </si>
  <si>
    <t>Geliat Kudus, Saat Turnamen Olahraga Menyulut Antusiasme dan Ekonomi Warga</t>
  </si>
  <si>
    <t>https://mainkekudus.com/news/geliat-kudus-saat-turnamen-olahraga-menyulut-antusiasme-dan-ekonomi-warga</t>
  </si>
  <si>
    <t>Published Total</t>
  </si>
  <si>
    <t>Cerita Haru Pemuda Kudus Pembentang Bendera saat Lagu Indonesia Raya Berkumandang di Caffino Srikandi Merdeka Cup</t>
  </si>
  <si>
    <t>Ketika Olahraga dan Seni Menyatu dalam Pesta Rakyat Srikandi Fair</t>
  </si>
  <si>
    <t>Unpublished</t>
  </si>
  <si>
    <t>Warisan Caffino Srikandi Merdeka Cup untuk Kudus dan Sepak Bola Putri Indonesia</t>
  </si>
  <si>
    <t>Turnamen Internasional Mendatangkan Aktivitas Ekonomi hingga ke Toko Olahraga</t>
  </si>
  <si>
    <t>QUICK READ</t>
  </si>
  <si>
    <t>Highest Views</t>
  </si>
  <si>
    <t>Highest Active Users</t>
  </si>
  <si>
    <t>Highest Avg Engagement</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</si>
</sst>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mmmm yyyy"/>
    <numFmt numFmtId="166" formatCode="d&quot; &quot;mmm&quot; &quot;yyyy"/>
    <numFmt numFmtId="167" formatCode="dd mmm yyyy"/>
    <numFmt numFmtId="168" formatCode="[m]:ss"/>
  </numFmts>
  <fonts count="32">
    <font>
      <sz val="11.0"/>
      <color rgb="FF000000"/>
      <name val="Carlito"/>
      <scheme val="minor"/>
    </font>
    <font>
      <b/>
      <sz val="18.0"/>
      <color rgb="FFFFFFFF"/>
      <name val="Carlito"/>
      <scheme val="minor"/>
    </font>
    <font/>
    <font>
      <sz val="10.0"/>
      <color rgb="FF667085"/>
      <name val="Carlito"/>
      <scheme val="minor"/>
    </font>
    <font>
      <sz val="10.0"/>
      <color rgb="FF2B2F36"/>
      <name val="Carlito"/>
      <scheme val="minor"/>
    </font>
    <font>
      <sz val="12.0"/>
      <color rgb="FF1F2329"/>
      <name val="Carlito"/>
      <scheme val="minor"/>
    </font>
    <font>
      <color theme="1"/>
      <name val="Carlito"/>
      <scheme val="minor"/>
    </font>
    <font>
      <b/>
      <sz val="10.0"/>
      <color rgb="FFFFFFFF"/>
      <name val="Carlito"/>
      <scheme val="minor"/>
    </font>
    <font>
      <b/>
      <sz val="10.0"/>
      <color rgb="FF667085"/>
      <name val="Carlito"/>
      <scheme val="minor"/>
    </font>
    <font>
      <sz val="10.0"/>
      <color theme="1"/>
      <name val="Carlito"/>
      <scheme val="minor"/>
    </font>
    <font>
      <b/>
      <sz val="16.0"/>
      <color rgb="FF1F2329"/>
      <name val="Carlito"/>
      <scheme val="minor"/>
    </font>
    <font>
      <b/>
      <sz val="9.0"/>
      <color rgb="FFFF4D00"/>
      <name val="Carlito"/>
      <scheme val="minor"/>
    </font>
    <font>
      <b/>
      <sz val="9.0"/>
      <color rgb="FFFFFFFF"/>
      <name val="Arial"/>
    </font>
    <font>
      <sz val="10.0"/>
      <color rgb="FF2B2F36"/>
      <name val="Arial"/>
    </font>
    <font>
      <b/>
      <sz val="9.0"/>
      <color rgb="FFFFFFFF"/>
      <name val="Carlito"/>
    </font>
    <font>
      <sz val="10.0"/>
      <color theme="1"/>
      <name val="Carlito"/>
    </font>
    <font>
      <u/>
      <sz val="10.0"/>
      <color rgb="FF1155CC"/>
      <name val="Carlito"/>
    </font>
    <font>
      <u/>
      <sz val="10.0"/>
      <color rgb="FF2B2F36"/>
    </font>
    <font>
      <sz val="9.0"/>
      <color theme="1"/>
      <name val="PT Sans Caption"/>
    </font>
    <font>
      <u/>
      <sz val="10.0"/>
      <color rgb="FF2B2F36"/>
    </font>
    <font>
      <u/>
      <sz val="10.0"/>
      <color rgb="FF1155CC"/>
      <name val="Carlito"/>
    </font>
    <font>
      <b/>
      <sz val="20.0"/>
      <color rgb="FFFFFFFF"/>
      <name val="Carlito"/>
      <scheme val="minor"/>
    </font>
    <font>
      <u/>
      <sz val="10.0"/>
      <color rgb="FF2B2F36"/>
    </font>
    <font>
      <u/>
      <sz val="10.0"/>
      <color rgb="FF2B2F36"/>
    </font>
    <font>
      <b/>
      <sz val="10.0"/>
      <color rgb="FFFF4D00"/>
      <name val="Carlito"/>
      <scheme val="minor"/>
    </font>
    <font>
      <b/>
      <sz val="15.0"/>
      <color rgb="FF1F2329"/>
      <name val="Carlito"/>
      <scheme val="minor"/>
    </font>
    <font>
      <b/>
      <sz val="8.0"/>
      <color rgb="FF667085"/>
      <name val="Carlito"/>
      <scheme val="minor"/>
    </font>
    <font>
      <sz val="10.0"/>
      <color rgb="FF1F2329"/>
      <name val="Carlito"/>
      <scheme val="minor"/>
    </font>
    <font>
      <b/>
      <sz val="10.0"/>
      <color rgb="FF1F2329"/>
      <name val="Carlito"/>
      <scheme val="minor"/>
    </font>
    <font>
      <sz val="9.0"/>
      <color rgb="FF667085"/>
      <name val="Carlito"/>
      <scheme val="minor"/>
    </font>
    <font>
      <sz val="10.0"/>
      <color rgb="FF667085"/>
      <name val="Carlito"/>
    </font>
    <font>
      <b/>
      <sz val="9.0"/>
      <color rgb="FF000000"/>
      <name val="Carlito"/>
      <scheme val="minor"/>
    </font>
  </fonts>
  <fills count="10">
    <fill>
      <patternFill patternType="none"/>
    </fill>
    <fill>
      <patternFill patternType="lightGray"/>
    </fill>
    <fill>
      <patternFill patternType="solid">
        <fgColor rgb="FF161616"/>
        <bgColor rgb="FF161616"/>
      </patternFill>
    </fill>
    <fill>
      <patternFill patternType="solid">
        <fgColor rgb="FF000000"/>
        <bgColor rgb="FF000000"/>
      </patternFill>
    </fill>
    <fill>
      <patternFill patternType="solid">
        <fgColor rgb="FFFF4D00"/>
        <bgColor rgb="FFFF4D00"/>
      </patternFill>
    </fill>
    <fill>
      <patternFill patternType="solid">
        <fgColor rgb="FFF4F5F7"/>
        <bgColor rgb="FFF4F5F7"/>
      </patternFill>
    </fill>
    <fill>
      <patternFill patternType="solid">
        <fgColor rgb="FFFFFFFF"/>
        <bgColor rgb="FFFFFFFF"/>
      </patternFill>
    </fill>
    <fill>
      <patternFill patternType="solid">
        <fgColor rgb="FF1F2329"/>
        <bgColor rgb="FF1F2329"/>
      </patternFill>
    </fill>
    <fill>
      <patternFill patternType="solid">
        <fgColor rgb="FFFFF7ED"/>
        <bgColor rgb="FFFFF7ED"/>
      </patternFill>
    </fill>
    <fill>
      <patternFill patternType="solid">
        <fgColor rgb="FFD9D9D9"/>
        <bgColor rgb="FFD9D9D9"/>
      </patternFill>
    </fill>
  </fills>
  <borders count="24">
    <border/>
    <border>
      <left style="thin">
        <color rgb="FFFFFFFF"/>
      </left>
      <top style="thin">
        <color rgb="FFFFFFFF"/>
      </top>
    </border>
    <border>
      <top style="thin">
        <color rgb="FFFFFFFF"/>
      </top>
    </border>
    <border>
      <left style="thin">
        <color rgb="FFFFFFFF"/>
      </left>
      <top style="thin">
        <color rgb="FFFFFFFF"/>
      </top>
      <bottom style="thin">
        <color rgb="FFFFFFFF"/>
      </bottom>
    </border>
    <border>
      <right style="thin">
        <color rgb="FFFFFFFF"/>
      </right>
      <top style="thin">
        <color rgb="FFFFFFFF"/>
      </top>
    </border>
    <border>
      <top style="thin">
        <color rgb="FFFFFFFF"/>
      </top>
      <bottom style="thin">
        <color rgb="FFFFFFFF"/>
      </bottom>
    </border>
    <border>
      <left style="thin">
        <color rgb="FFFFFFFF"/>
      </left>
      <bottom style="thin">
        <color rgb="FFFFFFFF"/>
      </bottom>
    </border>
    <border>
      <bottom style="thin">
        <color rgb="FFFFFFFF"/>
      </bottom>
    </border>
    <border>
      <right style="thin">
        <color rgb="FFFFFFFF"/>
      </right>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4D00"/>
      </left>
      <right style="thin">
        <color rgb="FFFF4D00"/>
      </right>
      <top style="thin">
        <color rgb="FFFF4D00"/>
      </top>
      <bottom style="thin">
        <color rgb="FFFF4D00"/>
      </bottom>
    </border>
    <border>
      <left style="thin">
        <color rgb="FFFFFFFF"/>
      </left>
      <right style="thin">
        <color rgb="FFFFFFFF"/>
      </right>
      <bottom style="thin">
        <color rgb="FFFFFFFF"/>
      </bottom>
    </border>
    <border>
      <left style="thin">
        <color rgb="FFFF4D00"/>
      </left>
      <right style="thin">
        <color rgb="FFFF4D00"/>
      </right>
      <top style="thin">
        <color rgb="FFFF4D00"/>
      </top>
    </border>
    <border>
      <left style="thin">
        <color rgb="FFFFF7ED"/>
      </left>
      <right style="thin">
        <color rgb="FFFFF7ED"/>
      </right>
      <top style="thin">
        <color rgb="FFFFF7ED"/>
      </top>
      <bottom style="thin">
        <color rgb="FFFFF7ED"/>
      </bottom>
    </border>
    <border>
      <left style="thin">
        <color rgb="FFFFFFFF"/>
      </left>
    </border>
    <border>
      <right style="thin">
        <color rgb="FFFFFFFF"/>
      </right>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right style="thin">
        <color rgb="FFD9D9D9"/>
      </right>
      <top style="thin">
        <color rgb="FFD9D9D9"/>
      </top>
      <bottom style="thin">
        <color rgb="FFD9D9D9"/>
      </bottom>
    </border>
  </borders>
  <cellStyleXfs count="1">
    <xf borderId="0" fillId="0" fontId="0" numFmtId="0" applyAlignment="1" applyFont="1"/>
  </cellStyleXfs>
  <cellXfs count="134">
    <xf borderId="0" fillId="0" fontId="0" numFmtId="0" xfId="0" applyAlignment="1" applyFont="1">
      <alignment readingOrder="0" shrinkToFit="0" vertical="bottom" wrapText="0"/>
    </xf>
    <xf borderId="0" fillId="2" fontId="1" numFmtId="0" xfId="0" applyAlignment="1" applyFill="1" applyFont="1">
      <alignment readingOrder="0" vertical="center"/>
    </xf>
    <xf borderId="1" fillId="3" fontId="1" numFmtId="0" xfId="0" applyAlignment="1" applyBorder="1" applyFill="1" applyFont="1">
      <alignment readingOrder="0" vertical="center"/>
    </xf>
    <xf borderId="1" fillId="2" fontId="1" numFmtId="0" xfId="0" applyAlignment="1" applyBorder="1" applyFill="1" applyFont="1">
      <alignment readingOrder="0" vertical="center"/>
    </xf>
    <xf borderId="2" fillId="0" fontId="2" numFmtId="0" xfId="0" applyBorder="1" applyFont="1"/>
    <xf borderId="4" fillId="0" fontId="2" numFmtId="0" xfId="0" applyBorder="1" applyFont="1"/>
    <xf borderId="3" fillId="0" fontId="3" numFmtId="0" xfId="0" applyAlignment="1" applyBorder="1" applyFont="1">
      <alignment vertical="center"/>
    </xf>
    <xf borderId="6" fillId="0" fontId="2" numFmtId="0" xfId="0" applyBorder="1" applyFont="1"/>
    <xf borderId="5"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4" numFmtId="0" xfId="0" applyBorder="1" applyFont="1"/>
    <xf borderId="3" fillId="0" fontId="5" numFmtId="0" xfId="0" applyAlignment="1" applyBorder="1" applyFont="1">
      <alignment vertical="center"/>
    </xf>
    <xf borderId="10" fillId="0" fontId="4" numFmtId="0" xfId="0" applyAlignment="1" applyBorder="1" applyFont="1">
      <alignment horizontal="center"/>
    </xf>
    <xf borderId="10" fillId="0" fontId="6" numFmtId="0" xfId="0" applyBorder="1" applyFont="1"/>
    <xf borderId="11" fillId="0" fontId="4" numFmtId="0" xfId="0" applyBorder="1" applyFont="1"/>
    <xf borderId="10" fillId="0" fontId="4" numFmtId="0" xfId="0" applyAlignment="1" applyBorder="1" applyFont="1">
      <alignment horizontal="center" vertical="center"/>
    </xf>
    <xf borderId="11" fillId="0" fontId="6" numFmtId="0" xfId="0" applyBorder="1" applyFont="1"/>
    <xf borderId="12" fillId="4" fontId="7" numFmtId="0" xfId="0" applyAlignment="1" applyBorder="1" applyFill="1" applyFont="1">
      <alignment horizontal="center" vertical="center"/>
    </xf>
    <xf borderId="3" fillId="5" fontId="8" numFmtId="0" xfId="0" applyAlignment="1" applyBorder="1" applyFill="1" applyFont="1">
      <alignment horizontal="center" shrinkToFit="0" vertical="center" wrapText="1"/>
    </xf>
    <xf borderId="12" fillId="4" fontId="9" numFmtId="0" xfId="0" applyAlignment="1" applyBorder="1" applyFill="1" applyFont="1">
      <alignment vertical="center"/>
    </xf>
    <xf borderId="13" fillId="0" fontId="9" numFmtId="0" xfId="0" applyAlignment="1" applyBorder="1" applyFont="1">
      <alignment shrinkToFit="0" vertical="top" wrapText="1"/>
    </xf>
    <xf borderId="13" fillId="0" fontId="6" numFmtId="0" xfId="0" applyBorder="1" applyFont="1"/>
    <xf borderId="10" fillId="0" fontId="9" numFmtId="0" xfId="0" applyAlignment="1" applyBorder="1" applyFont="1">
      <alignment shrinkToFit="0" vertical="top" wrapText="1"/>
    </xf>
    <xf borderId="3" fillId="0" fontId="5" numFmtId="0" xfId="0" applyAlignment="1" applyBorder="1" applyFont="1">
      <alignment readingOrder="0" vertical="center"/>
    </xf>
    <xf borderId="1" fillId="6" fontId="10" numFmtId="3" xfId="0" applyAlignment="1" applyBorder="1" applyFill="1" applyFont="1" applyNumberFormat="1">
      <alignment horizontal="center" vertical="center"/>
    </xf>
    <xf borderId="3" fillId="0" fontId="11" numFmtId="0" xfId="0" applyAlignment="1" applyBorder="1" applyFont="1">
      <alignment vertical="center"/>
    </xf>
    <xf borderId="3" fillId="0" fontId="11" numFmtId="0" xfId="0" applyAlignment="1" applyBorder="1" applyFont="1">
      <alignment shrinkToFit="0" vertical="center" wrapText="1"/>
    </xf>
    <xf borderId="1" fillId="6" fontId="10" numFmtId="164" xfId="0" applyAlignment="1" applyBorder="1" applyFill="1" applyFont="1" applyNumberFormat="1">
      <alignment horizontal="center" vertical="center"/>
    </xf>
    <xf borderId="3" fillId="0" fontId="6" numFmtId="0" xfId="0" applyAlignment="1" applyBorder="1" applyFont="1">
      <alignment readingOrder="0" vertical="top"/>
    </xf>
    <xf borderId="3" fillId="0" fontId="3" numFmtId="0" xfId="0" applyAlignment="1" applyBorder="1" applyFont="1">
      <alignment readingOrder="0" vertical="top"/>
    </xf>
    <xf borderId="11" fillId="0" fontId="4" numFmtId="0" xfId="0" applyAlignment="1" applyBorder="1" applyFont="1">
      <alignment horizontal="center"/>
    </xf>
    <xf borderId="11" fillId="0" fontId="4" numFmtId="0" xfId="0" applyAlignment="1" applyBorder="1" applyFont="1">
      <alignment horizontal="center" vertical="center"/>
    </xf>
    <xf borderId="0" fillId="7" fontId="12" numFmtId="0" xfId="0" applyAlignment="1" applyFill="1" applyFont="1">
      <alignment horizontal="center"/>
    </xf>
    <xf borderId="12" fillId="4" fontId="7" numFmtId="0" xfId="0" applyAlignment="1" applyBorder="1" applyFill="1" applyFont="1">
      <alignment horizontal="center" shrinkToFit="0" vertical="center" wrapText="1"/>
    </xf>
    <xf borderId="14" fillId="4" fontId="7" numFmtId="0" xfId="0" applyAlignment="1" applyBorder="1" applyFill="1" applyFont="1">
      <alignment horizontal="center" vertical="center"/>
    </xf>
    <xf borderId="0" fillId="0" fontId="13" numFmtId="0" xfId="0" applyFont="1"/>
    <xf borderId="0" fillId="7" fontId="12" numFmtId="0" xfId="0" applyFill="1" applyFont="1"/>
    <xf borderId="0" fillId="7" fontId="14" numFmtId="0" xfId="0" applyFill="1" applyFont="1"/>
    <xf borderId="0" fillId="0" fontId="6" numFmtId="0" xfId="0" applyAlignment="1" applyFont="1">
      <alignment readingOrder="0"/>
    </xf>
    <xf borderId="0" fillId="0" fontId="6" numFmtId="165" xfId="0" applyAlignment="1" applyFont="1" applyNumberFormat="1">
      <alignment readingOrder="0"/>
    </xf>
    <xf borderId="0" fillId="0" fontId="6" numFmtId="0" xfId="0" applyFont="1"/>
    <xf borderId="10" fillId="0" fontId="15" numFmtId="0" xfId="0" applyAlignment="1" applyBorder="1" applyFont="1">
      <alignment horizontal="center" shrinkToFit="0" vertical="center" wrapText="1"/>
    </xf>
    <xf borderId="13" fillId="0" fontId="4" numFmtId="0" xfId="0" applyAlignment="1" applyBorder="1" applyFont="1">
      <alignment horizontal="center" readingOrder="0" shrinkToFit="0" vertical="top" wrapText="1"/>
    </xf>
    <xf borderId="0" fillId="0" fontId="13" numFmtId="0" xfId="0" applyAlignment="1" applyFont="1">
      <alignment readingOrder="0"/>
    </xf>
    <xf borderId="10" fillId="0" fontId="15" numFmtId="166" xfId="0" applyAlignment="1" applyBorder="1" applyFont="1" applyNumberFormat="1">
      <alignment horizontal="center" shrinkToFit="0" vertical="center" wrapText="1"/>
    </xf>
    <xf borderId="13" fillId="0" fontId="4" numFmtId="167" xfId="0" applyAlignment="1" applyBorder="1" applyFont="1" applyNumberFormat="1">
      <alignment horizontal="center" readingOrder="0" shrinkToFit="0" vertical="top" wrapText="1"/>
    </xf>
    <xf borderId="10" fillId="0" fontId="15" numFmtId="0" xfId="0" applyAlignment="1" applyBorder="1" applyFont="1">
      <alignment shrinkToFit="0" vertical="center" wrapText="1"/>
    </xf>
    <xf borderId="13" fillId="0" fontId="4" numFmtId="0" xfId="0" applyAlignment="1" applyBorder="1" applyFont="1">
      <alignment readingOrder="0" shrinkToFit="0" vertical="top" wrapText="1"/>
    </xf>
    <xf borderId="13" fillId="0" fontId="4" numFmtId="3" xfId="0" applyAlignment="1" applyBorder="1" applyFont="1" applyNumberFormat="1">
      <alignment horizontal="center" readingOrder="0" shrinkToFit="0" vertical="top" wrapText="1"/>
    </xf>
    <xf borderId="13" fillId="0" fontId="4" numFmtId="2" xfId="0" applyAlignment="1" applyBorder="1" applyFont="1" applyNumberFormat="1">
      <alignment horizontal="center" readingOrder="0" shrinkToFit="0" vertical="top" wrapText="1"/>
    </xf>
    <xf borderId="13" fillId="0" fontId="4" numFmtId="168" xfId="0" applyAlignment="1" applyBorder="1" applyFont="1" applyNumberFormat="1">
      <alignment horizontal="center" readingOrder="0" shrinkToFit="0" vertical="top" wrapText="1"/>
    </xf>
    <xf borderId="10" fillId="0" fontId="16" numFmtId="0" xfId="0" applyAlignment="1" applyBorder="1" applyFont="1">
      <alignment shrinkToFit="0" vertical="center" wrapText="1"/>
    </xf>
    <xf borderId="13" fillId="0" fontId="17" numFmtId="0" xfId="0" applyAlignment="1" applyBorder="1" applyFont="1">
      <alignment readingOrder="0" shrinkToFit="0" vertical="top" wrapText="1"/>
    </xf>
    <xf borderId="10" fillId="0" fontId="4" numFmtId="0" xfId="0" applyAlignment="1" applyBorder="1" applyFont="1">
      <alignment horizontal="center" readingOrder="0" shrinkToFit="0" vertical="top" wrapText="1"/>
    </xf>
    <xf borderId="10" fillId="0" fontId="4" numFmtId="167" xfId="0" applyAlignment="1" applyBorder="1" applyFont="1" applyNumberFormat="1">
      <alignment horizontal="center" readingOrder="0" shrinkToFit="0" vertical="top" wrapText="1"/>
    </xf>
    <xf borderId="10" fillId="0" fontId="18" numFmtId="0" xfId="0" applyAlignment="1" applyBorder="1" applyFont="1">
      <alignment horizontal="center" shrinkToFit="0" vertical="center" wrapText="1"/>
    </xf>
    <xf borderId="10" fillId="0" fontId="4" numFmtId="0" xfId="0" applyAlignment="1" applyBorder="1" applyFont="1">
      <alignment readingOrder="0" shrinkToFit="0" vertical="top" wrapText="1"/>
    </xf>
    <xf borderId="10" fillId="0" fontId="4" numFmtId="3" xfId="0" applyAlignment="1" applyBorder="1" applyFont="1" applyNumberFormat="1">
      <alignment horizontal="center" readingOrder="0" shrinkToFit="0" vertical="top" wrapText="1"/>
    </xf>
    <xf borderId="10" fillId="0" fontId="4" numFmtId="0" xfId="0" applyAlignment="1" applyBorder="1" applyFont="1">
      <alignment horizontal="center" shrinkToFit="0" vertical="center" wrapText="1"/>
    </xf>
    <xf borderId="10" fillId="0" fontId="4" numFmtId="2" xfId="0" applyAlignment="1" applyBorder="1" applyFont="1" applyNumberFormat="1">
      <alignment horizontal="center" readingOrder="0" shrinkToFit="0" vertical="top" wrapText="1"/>
    </xf>
    <xf borderId="10" fillId="0" fontId="4" numFmtId="168" xfId="0" applyAlignment="1" applyBorder="1" applyFont="1" applyNumberFormat="1">
      <alignment horizontal="center" readingOrder="0" shrinkToFit="0" vertical="top" wrapText="1"/>
    </xf>
    <xf borderId="10" fillId="0" fontId="19" numFmtId="0" xfId="0" applyAlignment="1" applyBorder="1" applyFont="1">
      <alignment readingOrder="0" shrinkToFit="0" vertical="top" wrapText="1"/>
    </xf>
    <xf borderId="10" fillId="0" fontId="15" numFmtId="0" xfId="0" applyAlignment="1" applyBorder="1" applyFont="1">
      <alignment vertical="center"/>
    </xf>
    <xf borderId="10" fillId="0" fontId="20" numFmtId="0" xfId="0" applyAlignment="1" applyBorder="1" applyFont="1">
      <alignment vertical="center"/>
    </xf>
    <xf borderId="11" fillId="0" fontId="4" numFmtId="0" xfId="0" applyAlignment="1" applyBorder="1" applyFont="1">
      <alignment horizontal="center" readingOrder="0" shrinkToFit="0" vertical="top" wrapText="1"/>
    </xf>
    <xf borderId="11" fillId="0" fontId="4" numFmtId="167" xfId="0" applyAlignment="1" applyBorder="1" applyFont="1" applyNumberFormat="1">
      <alignment horizontal="center" readingOrder="0" shrinkToFit="0" vertical="top" wrapText="1"/>
    </xf>
    <xf borderId="11" fillId="0" fontId="4" numFmtId="0" xfId="0" applyAlignment="1" applyBorder="1" applyFont="1">
      <alignment readingOrder="0" shrinkToFit="0" vertical="top" wrapText="1"/>
    </xf>
    <xf borderId="11" fillId="0" fontId="4" numFmtId="3" xfId="0" applyAlignment="1" applyBorder="1" applyFont="1" applyNumberFormat="1">
      <alignment horizontal="center" readingOrder="0" shrinkToFit="0" vertical="top" wrapText="1"/>
    </xf>
    <xf borderId="11" fillId="0" fontId="4" numFmtId="2" xfId="0" applyAlignment="1" applyBorder="1" applyFont="1" applyNumberFormat="1">
      <alignment horizontal="center" readingOrder="0" shrinkToFit="0" vertical="top" wrapText="1"/>
    </xf>
    <xf borderId="11" fillId="0" fontId="4" numFmtId="168" xfId="0" applyAlignment="1" applyBorder="1" applyFont="1" applyNumberFormat="1">
      <alignment horizontal="center" readingOrder="0" shrinkToFit="0" vertical="top" wrapText="1"/>
    </xf>
    <xf borderId="0" fillId="3" fontId="21" numFmtId="0" xfId="0" applyAlignment="1" applyFill="1" applyFont="1">
      <alignment readingOrder="0" shrinkToFit="0" vertical="center" wrapText="1"/>
    </xf>
    <xf borderId="11" fillId="0" fontId="22" numFmtId="0" xfId="0" applyAlignment="1" applyBorder="1" applyFont="1">
      <alignment readingOrder="0" shrinkToFit="0" vertical="top" wrapText="1"/>
    </xf>
    <xf borderId="15" fillId="0" fontId="4" numFmtId="0" xfId="0" applyAlignment="1" applyBorder="1" applyFont="1">
      <alignment horizontal="center" readingOrder="0" shrinkToFit="0" vertical="top" wrapText="1"/>
    </xf>
    <xf borderId="15" fillId="0" fontId="4" numFmtId="167" xfId="0" applyAlignment="1" applyBorder="1" applyFont="1" applyNumberFormat="1">
      <alignment horizontal="center" readingOrder="0" shrinkToFit="0" vertical="top" wrapText="1"/>
    </xf>
    <xf borderId="15" fillId="0" fontId="4" numFmtId="0" xfId="0" applyAlignment="1" applyBorder="1" applyFont="1">
      <alignment readingOrder="0" shrinkToFit="0" vertical="top" wrapText="1"/>
    </xf>
    <xf borderId="15" fillId="0" fontId="4" numFmtId="3" xfId="0" applyAlignment="1" applyBorder="1" applyFont="1" applyNumberFormat="1">
      <alignment horizontal="center" readingOrder="0" shrinkToFit="0" vertical="top" wrapText="1"/>
    </xf>
    <xf borderId="15" fillId="0" fontId="4" numFmtId="2" xfId="0" applyAlignment="1" applyBorder="1" applyFont="1" applyNumberFormat="1">
      <alignment horizontal="center" readingOrder="0" shrinkToFit="0" vertical="top" wrapText="1"/>
    </xf>
    <xf borderId="15" fillId="0" fontId="4" numFmtId="168" xfId="0" applyAlignment="1" applyBorder="1" applyFont="1" applyNumberFormat="1">
      <alignment horizontal="center" readingOrder="0" shrinkToFit="0" vertical="top" wrapText="1"/>
    </xf>
    <xf borderId="15" fillId="0" fontId="23" numFmtId="0" xfId="0" applyAlignment="1" applyBorder="1" applyFont="1">
      <alignment readingOrder="0" shrinkToFit="0" vertical="top" wrapText="1"/>
    </xf>
    <xf borderId="1" fillId="6" fontId="10" numFmtId="49" xfId="0" applyAlignment="1" applyBorder="1" applyFill="1" applyFont="1" applyNumberFormat="1">
      <alignment horizontal="center" vertical="center"/>
    </xf>
    <xf borderId="3" fillId="0" fontId="24" numFmtId="0" xfId="0" applyAlignment="1" applyBorder="1" applyFont="1">
      <alignment vertical="center"/>
    </xf>
    <xf borderId="1" fillId="8" fontId="25" numFmtId="0" xfId="0" applyAlignment="1" applyBorder="1" applyFill="1" applyFont="1">
      <alignment shrinkToFit="0" vertical="center" wrapText="1"/>
    </xf>
    <xf borderId="3" fillId="0" fontId="26" numFmtId="0" xfId="0" applyAlignment="1" applyBorder="1" applyFont="1">
      <alignment horizontal="center"/>
    </xf>
    <xf borderId="16" fillId="0" fontId="2" numFmtId="0" xfId="0" applyBorder="1" applyFont="1"/>
    <xf borderId="17" fillId="0" fontId="2" numFmtId="0" xfId="0" applyBorder="1" applyFont="1"/>
    <xf borderId="1" fillId="0" fontId="10" numFmtId="3" xfId="0" applyAlignment="1" applyBorder="1" applyFont="1" applyNumberFormat="1">
      <alignment horizontal="center" vertical="center"/>
    </xf>
    <xf borderId="1" fillId="0" fontId="10" numFmtId="168" xfId="0" applyAlignment="1" applyBorder="1" applyFont="1" applyNumberFormat="1">
      <alignment horizontal="center" vertical="center"/>
    </xf>
    <xf borderId="3" fillId="0" fontId="4" numFmtId="0" xfId="0" applyAlignment="1" applyBorder="1" applyFont="1">
      <alignment readingOrder="0" shrinkToFit="0" vertical="center" wrapText="1"/>
    </xf>
    <xf borderId="10" fillId="0" fontId="15" numFmtId="0" xfId="0" applyAlignment="1" applyBorder="1" applyFont="1">
      <alignment horizontal="center" readingOrder="0" vertical="center"/>
    </xf>
    <xf borderId="10" fillId="0" fontId="24" numFmtId="0" xfId="0" applyAlignment="1" applyBorder="1" applyFont="1">
      <alignment vertical="center"/>
    </xf>
    <xf borderId="10" fillId="0" fontId="15" numFmtId="0" xfId="0" applyAlignment="1" applyBorder="1" applyFont="1">
      <alignment horizontal="center" readingOrder="0" shrinkToFit="0" vertical="center" wrapText="1"/>
    </xf>
    <xf borderId="11" fillId="0" fontId="24" numFmtId="0" xfId="0" applyAlignment="1" applyBorder="1" applyFont="1">
      <alignment vertical="center"/>
    </xf>
    <xf borderId="18" fillId="7" fontId="7" numFmtId="0" xfId="0" applyAlignment="1" applyBorder="1" applyFill="1" applyFont="1">
      <alignment horizontal="left" shrinkToFit="0" vertical="center" wrapText="1"/>
    </xf>
    <xf borderId="18" fillId="7" fontId="7" numFmtId="0" xfId="0" applyAlignment="1" applyBorder="1" applyFill="1" applyFont="1">
      <alignment horizontal="center" shrinkToFit="0" vertical="center" wrapText="1"/>
    </xf>
    <xf borderId="19" fillId="7" fontId="7" numFmtId="0" xfId="0" applyAlignment="1" applyBorder="1" applyFill="1" applyFont="1">
      <alignment horizontal="right" shrinkToFit="0" vertical="center" wrapText="1"/>
    </xf>
    <xf borderId="20" fillId="0" fontId="2" numFmtId="0" xfId="0" applyBorder="1" applyFont="1"/>
    <xf borderId="9" fillId="0" fontId="6" numFmtId="0" xfId="0" applyBorder="1" applyFont="1"/>
    <xf borderId="3" fillId="0" fontId="6" numFmtId="0" xfId="0" applyBorder="1" applyFont="1"/>
    <xf borderId="18" fillId="7" fontId="7" numFmtId="0" xfId="0" applyAlignment="1" applyBorder="1" applyFill="1" applyFont="1">
      <alignment horizontal="left" readingOrder="0" shrinkToFit="0" vertical="center" wrapText="1"/>
    </xf>
    <xf borderId="13" fillId="0" fontId="9" numFmtId="0" xfId="0" applyAlignment="1" applyBorder="1" applyFont="1">
      <alignment vertical="center"/>
    </xf>
    <xf borderId="6" fillId="0" fontId="9" numFmtId="164" xfId="0" applyAlignment="1" applyBorder="1" applyFont="1" applyNumberFormat="1">
      <alignment vertical="center"/>
    </xf>
    <xf borderId="10" fillId="0" fontId="9" numFmtId="0" xfId="0" applyAlignment="1" applyBorder="1" applyFont="1">
      <alignment vertical="center"/>
    </xf>
    <xf borderId="10" fillId="0" fontId="4" numFmtId="0" xfId="0" applyAlignment="1" applyBorder="1" applyFont="1">
      <alignment horizontal="center" shrinkToFit="0" vertical="top" wrapText="1"/>
    </xf>
    <xf borderId="10" fillId="0" fontId="4" numFmtId="167" xfId="0" applyAlignment="1" applyBorder="1" applyFont="1" applyNumberFormat="1">
      <alignment horizontal="center" shrinkToFit="0" vertical="top" wrapText="1"/>
    </xf>
    <xf borderId="3" fillId="0" fontId="9" numFmtId="164" xfId="0" applyAlignment="1" applyBorder="1" applyFont="1" applyNumberFormat="1">
      <alignment vertical="center"/>
    </xf>
    <xf borderId="10" fillId="0" fontId="4" numFmtId="0" xfId="0" applyAlignment="1" applyBorder="1" applyFont="1">
      <alignment shrinkToFit="0" vertical="top" wrapText="1"/>
    </xf>
    <xf borderId="10" fillId="0" fontId="27" numFmtId="0" xfId="0" applyAlignment="1" applyBorder="1" applyFont="1">
      <alignment readingOrder="0" vertical="center"/>
    </xf>
    <xf borderId="0" fillId="0" fontId="13" numFmtId="0" xfId="0" applyAlignment="1" applyFont="1">
      <alignment horizontal="center"/>
    </xf>
    <xf borderId="0" fillId="0" fontId="13" numFmtId="0" xfId="0" applyAlignment="1" applyFont="1">
      <alignment horizontal="center" vertical="center"/>
    </xf>
    <xf borderId="3" fillId="0" fontId="27" numFmtId="164" xfId="0" applyAlignment="1" applyBorder="1" applyFont="1" applyNumberFormat="1">
      <alignment vertical="center"/>
    </xf>
    <xf borderId="10" fillId="0" fontId="28" numFmtId="0" xfId="0" applyAlignment="1" applyBorder="1" applyFont="1">
      <alignment vertical="center"/>
    </xf>
    <xf borderId="3" fillId="0" fontId="28" numFmtId="164" xfId="0" applyAlignment="1" applyBorder="1" applyFont="1" applyNumberFormat="1">
      <alignment vertical="center"/>
    </xf>
    <xf borderId="0" fillId="0" fontId="6" numFmtId="0" xfId="0" applyAlignment="1" applyFont="1">
      <alignment horizontal="center"/>
    </xf>
    <xf borderId="0" fillId="0" fontId="6" numFmtId="0" xfId="0" applyAlignment="1" applyFont="1">
      <alignment horizontal="center" vertical="center"/>
    </xf>
    <xf borderId="11" fillId="0" fontId="9" numFmtId="0" xfId="0" applyAlignment="1" applyBorder="1" applyFont="1">
      <alignment vertical="center"/>
    </xf>
    <xf borderId="1" fillId="0" fontId="9" numFmtId="164" xfId="0" applyAlignment="1" applyBorder="1" applyFont="1" applyNumberFormat="1">
      <alignment vertical="center"/>
    </xf>
    <xf borderId="21" fillId="9" fontId="9" numFmtId="0" xfId="0" applyAlignment="1" applyBorder="1" applyFill="1" applyFont="1">
      <alignment vertical="center"/>
    </xf>
    <xf borderId="22" fillId="9" fontId="9" numFmtId="164" xfId="0" applyAlignment="1" applyBorder="1" applyFill="1" applyFont="1" applyNumberFormat="1">
      <alignment vertical="center"/>
    </xf>
    <xf borderId="23" fillId="0" fontId="2" numFmtId="0" xfId="0" applyBorder="1" applyFont="1"/>
    <xf borderId="13" fillId="0" fontId="28" numFmtId="0" xfId="0" applyAlignment="1" applyBorder="1" applyFont="1">
      <alignment vertical="center"/>
    </xf>
    <xf borderId="6" fillId="0" fontId="28" numFmtId="164" xfId="0" applyAlignment="1" applyBorder="1" applyFont="1" applyNumberFormat="1">
      <alignment vertical="center"/>
    </xf>
    <xf borderId="10" fillId="0" fontId="29" numFmtId="0" xfId="0" applyAlignment="1" applyBorder="1" applyFont="1">
      <alignment shrinkToFit="0" vertical="center" wrapText="1"/>
    </xf>
    <xf borderId="3" fillId="0" fontId="30" numFmtId="0" xfId="0" applyAlignment="1" applyBorder="1" applyFont="1">
      <alignment shrinkToFit="0" vertical="center" wrapText="1"/>
    </xf>
    <xf borderId="3" fillId="5" fontId="31" numFmtId="0" xfId="0" applyAlignment="1" applyBorder="1" applyFill="1" applyFont="1">
      <alignment vertical="center"/>
    </xf>
    <xf borderId="3" fillId="0" fontId="4" numFmtId="0" xfId="0" applyAlignment="1" applyBorder="1" applyFont="1">
      <alignment shrinkToFit="0" vertical="center" wrapText="1"/>
    </xf>
    <xf borderId="3" fillId="0" fontId="28" numFmtId="3" xfId="0" applyAlignment="1" applyBorder="1" applyFont="1" applyNumberFormat="1">
      <alignment horizontal="left" vertical="center"/>
    </xf>
    <xf borderId="5" fillId="0" fontId="4" numFmtId="0" xfId="0" applyAlignment="1" applyBorder="1" applyFont="1">
      <alignment shrinkToFit="0" vertical="center" wrapText="1"/>
    </xf>
    <xf borderId="9" fillId="0" fontId="4" numFmtId="0" xfId="0" applyAlignment="1" applyBorder="1" applyFont="1">
      <alignment shrinkToFit="0" vertical="center" wrapText="1"/>
    </xf>
    <xf borderId="3" fillId="0" fontId="28" numFmtId="3" xfId="0" applyAlignment="1" applyBorder="1" applyFont="1" applyNumberFormat="1">
      <alignment horizontal="right" vertical="center"/>
    </xf>
    <xf borderId="3" fillId="0" fontId="28" numFmtId="168" xfId="0" applyAlignment="1" applyBorder="1" applyFont="1" applyNumberFormat="1">
      <alignment horizontal="left" vertical="center"/>
    </xf>
    <xf borderId="3" fillId="0" fontId="28" numFmtId="168" xfId="0" applyAlignment="1" applyBorder="1" applyFont="1" applyNumberFormat="1">
      <alignment horizontal="right" vertical="center"/>
    </xf>
    <xf borderId="10" fillId="0" fontId="1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161616"/>
                </a:solidFill>
                <a:latin typeface="Roboto"/>
              </a:defRPr>
            </a:pPr>
            <a:r>
              <a:rPr b="0">
                <a:solidFill>
                  <a:srgbClr val="161616"/>
                </a:solidFill>
                <a:latin typeface="Roboto"/>
              </a:rPr>
              <a:t>Content Type</a:t>
            </a:r>
          </a:p>
        </c:rich>
      </c:tx>
      <c:overlay val="0"/>
    </c:title>
    <c:plotArea>
      <c:layout/>
      <c:doughnutChart>
        <c:varyColors val="1"/>
        <c:ser>
          <c:idx val="0"/>
          <c:order val="0"/>
          <c:tx>
            <c:strRef>
              <c:f>'01 Executive Summary'!$B$37</c:f>
            </c:strRef>
          </c:tx>
          <c:dPt>
            <c:idx val="0"/>
            <c:spPr>
              <a:solidFill>
                <a:srgbClr val="4A86E8"/>
              </a:solidFill>
            </c:spPr>
          </c:dPt>
          <c:dPt>
            <c:idx val="1"/>
            <c:spPr>
              <a:solidFill>
                <a:srgbClr val="E97132"/>
              </a:solidFill>
            </c:spPr>
          </c:dPt>
          <c:dPt>
            <c:idx val="2"/>
            <c:spPr>
              <a:solidFill>
                <a:srgbClr val="196B24"/>
              </a:solidFill>
            </c:spPr>
          </c:dPt>
          <c:dLbls>
            <c:showLegendKey val="0"/>
            <c:showVal val="0"/>
            <c:showCatName val="0"/>
            <c:showSerName val="0"/>
            <c:showPercent val="0"/>
            <c:showBubbleSize val="0"/>
            <c:showLeaderLines val="1"/>
          </c:dLbls>
          <c:cat>
            <c:strRef>
              <c:f>'01 Executive Summary'!$A$38:$A$40</c:f>
            </c:strRef>
          </c:cat>
          <c:val>
            <c:numRef>
              <c:f>'01 Executive Summary'!$B$38:$B$40</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161616"/>
                </a:solidFill>
                <a:latin typeface="Roboto"/>
              </a:defRPr>
            </a:pPr>
            <a:r>
              <a:rPr b="0">
                <a:solidFill>
                  <a:srgbClr val="161616"/>
                </a:solidFill>
                <a:latin typeface="Roboto"/>
              </a:rPr>
              <a:t>Category</a:t>
            </a:r>
          </a:p>
        </c:rich>
      </c:tx>
      <c:overlay val="0"/>
    </c:title>
    <c:plotArea>
      <c:layout/>
      <c:doughnutChart>
        <c:varyColors val="1"/>
        <c:ser>
          <c:idx val="0"/>
          <c:order val="0"/>
          <c:tx>
            <c:strRef>
              <c:f>'01 Executive Summary'!$H$37</c:f>
            </c:strRef>
          </c:tx>
          <c:dPt>
            <c:idx val="0"/>
            <c:spPr>
              <a:solidFill>
                <a:srgbClr val="4A86E8"/>
              </a:solidFill>
            </c:spPr>
          </c:dPt>
          <c:dPt>
            <c:idx val="1"/>
            <c:spPr>
              <a:solidFill>
                <a:srgbClr val="E97132"/>
              </a:solidFill>
            </c:spPr>
          </c:dPt>
          <c:dPt>
            <c:idx val="2"/>
            <c:spPr>
              <a:solidFill>
                <a:srgbClr val="196B24"/>
              </a:solidFill>
            </c:spPr>
          </c:dPt>
          <c:dPt>
            <c:idx val="3"/>
            <c:spPr>
              <a:solidFill>
                <a:srgbClr val="0F9ED5"/>
              </a:solidFill>
            </c:spPr>
          </c:dPt>
          <c:dPt>
            <c:idx val="4"/>
            <c:spPr>
              <a:solidFill>
                <a:srgbClr val="A02B93"/>
              </a:solidFill>
            </c:spPr>
          </c:dPt>
          <c:dPt>
            <c:idx val="5"/>
            <c:spPr>
              <a:solidFill>
                <a:srgbClr val="4EA72E"/>
              </a:solidFill>
            </c:spPr>
          </c:dPt>
          <c:dPt>
            <c:idx val="6"/>
            <c:spPr>
              <a:solidFill>
                <a:srgbClr val="5B90A8"/>
              </a:solidFill>
            </c:spPr>
          </c:dPt>
          <c:dPt>
            <c:idx val="7"/>
            <c:spPr>
              <a:solidFill>
                <a:srgbClr val="F09C70"/>
              </a:solidFill>
            </c:spPr>
          </c:dPt>
          <c:dPt>
            <c:idx val="8"/>
            <c:spPr>
              <a:solidFill>
                <a:srgbClr val="5E9766"/>
              </a:solidFill>
            </c:spPr>
          </c:dPt>
          <c:dPt>
            <c:idx val="9"/>
            <c:spPr>
              <a:solidFill>
                <a:srgbClr val="57BBE2"/>
              </a:solidFill>
            </c:spPr>
          </c:dPt>
          <c:dPt>
            <c:idx val="10"/>
            <c:spPr>
              <a:solidFill>
                <a:srgbClr val="000000"/>
              </a:solidFill>
            </c:spPr>
          </c:dPt>
          <c:dLbls>
            <c:showLegendKey val="0"/>
            <c:showVal val="0"/>
            <c:showCatName val="0"/>
            <c:showSerName val="0"/>
            <c:showPercent val="0"/>
            <c:showBubbleSize val="0"/>
            <c:showLeaderLines val="1"/>
          </c:dLbls>
          <c:cat>
            <c:strRef>
              <c:f>'01 Executive Summary'!$G$38:$G$48</c:f>
            </c:strRef>
          </c:cat>
          <c:val>
            <c:numRef>
              <c:f>'01 Executive Summary'!$H$38:$H$48</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Roboto"/>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22</xdr:row>
      <xdr:rowOff>200025</xdr:rowOff>
    </xdr:from>
    <xdr:ext cx="3838575" cy="23812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942975</xdr:colOff>
      <xdr:row>23</xdr:row>
      <xdr:rowOff>9525</xdr:rowOff>
    </xdr:from>
    <xdr:ext cx="3838575" cy="23717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mainkekudus.com/news/sapphire-boutique-hotel-hadirkan-pengalaman-unik-bagi-timnas-putri-u-16-singapura-dan-arab-saudi" TargetMode="External"/><Relationship Id="rId20" Type="http://schemas.openxmlformats.org/officeDocument/2006/relationships/hyperlink" Target="https://mainkekudus.com/accommodations/mansionite-hotel" TargetMode="External"/><Relationship Id="rId42" Type="http://schemas.openxmlformats.org/officeDocument/2006/relationships/hyperlink" Target="https://mainkekudus.com/news/independence-futsal-league-asah-keterampilan-bertanding-para-pelajar-di-gor-bung-karno-kudus" TargetMode="External"/><Relationship Id="rId41" Type="http://schemas.openxmlformats.org/officeDocument/2006/relationships/hyperlink" Target="https://mainkekudus.com/news/turnamen-internasional-mendatangkan-aktivitas-ekonomi-hingga-ke-toko-olahraga" TargetMode="External"/><Relationship Id="rId22" Type="http://schemas.openxmlformats.org/officeDocument/2006/relationships/hyperlink" Target="https://mainkekudus.com/culinaries/soto-pindang-kudus-haji-sulichan" TargetMode="External"/><Relationship Id="rId44" Type="http://schemas.openxmlformats.org/officeDocument/2006/relationships/drawing" Target="../drawings/drawing2.xml"/><Relationship Id="rId21" Type="http://schemas.openxmlformats.org/officeDocument/2006/relationships/hyperlink" Target="https://mainkekudus.com/culinaries/sate-kerbau-sederhana-pak-bambang" TargetMode="External"/><Relationship Id="rId43" Type="http://schemas.openxmlformats.org/officeDocument/2006/relationships/hyperlink" Target="https://mainkekudus.com/news/geliat-kudus-saat-turnamen-olahraga-menyulut-antusiasme-dan-ekonomi-warga" TargetMode="External"/><Relationship Id="rId24" Type="http://schemas.openxmlformats.org/officeDocument/2006/relationships/hyperlink" Target="https://mainkekudus.com/accommodations/hotel-horison-ij-kudus" TargetMode="External"/><Relationship Id="rId23" Type="http://schemas.openxmlformats.org/officeDocument/2006/relationships/hyperlink" Target="https://mainkekudus.com/venues/djarum-arena-kaliputu" TargetMode="External"/><Relationship Id="rId1" Type="http://schemas.openxmlformats.org/officeDocument/2006/relationships/hyperlink" Target="https://mainkekudus.com/news/muria-trail-run-2026-berlari-dengan-konsep-wisata-olahraga-ramah-lingkungan" TargetMode="External"/><Relationship Id="rId2" Type="http://schemas.openxmlformats.org/officeDocument/2006/relationships/hyperlink" Target="https://mainkekudus.com/news/supersoccer-euro-futsal-championship-2026-city-playoff-kudus-perkuat-persaingan-antar-kota-di-kudus" TargetMode="External"/><Relationship Id="rId3" Type="http://schemas.openxmlformats.org/officeDocument/2006/relationships/hyperlink" Target="https://mainkekudus.com/news/ajang-tanding-tahunan-komunitas-futsal-di-kudus-dan-daerah-sekitarnya" TargetMode="External"/><Relationship Id="rId4" Type="http://schemas.openxmlformats.org/officeDocument/2006/relationships/hyperlink" Target="https://mainkekudus.com/news/peran-pelatih-panahan-membentuk-karakter-atlet-sejak-dini" TargetMode="External"/><Relationship Id="rId9" Type="http://schemas.openxmlformats.org/officeDocument/2006/relationships/hyperlink" Target="https://mainkekudus.com/news/7-kuliner-khas-yang-wajib-dicoba-saat-berkunjung-ke-kudus" TargetMode="External"/><Relationship Id="rId26" Type="http://schemas.openxmlformats.org/officeDocument/2006/relationships/hyperlink" Target="https://mainkekudus.com/news/5-rekomendasi-soto-kudus-yang-wajib-dicoba-saat-berkunjung-ke-kudus" TargetMode="External"/><Relationship Id="rId25" Type="http://schemas.openxmlformats.org/officeDocument/2006/relationships/hyperlink" Target="https://mainkekudus.com/culinaries/lentog-tanjung-pak-di" TargetMode="External"/><Relationship Id="rId28" Type="http://schemas.openxmlformats.org/officeDocument/2006/relationships/hyperlink" Target="https://mainkekudus.com/news/timnas-malaysia-dan-hong-kong-china-terkesan-dengan-jenang-dan-batik-kudus" TargetMode="External"/><Relationship Id="rId27" Type="http://schemas.openxmlformats.org/officeDocument/2006/relationships/hyperlink" Target="https://mainkekudus.com/news/hydroplus-bupati-cup-xx-2026-pertemukan-atlet-berbagai-kelompok-usia" TargetMode="External"/><Relationship Id="rId5" Type="http://schemas.openxmlformats.org/officeDocument/2006/relationships/hyperlink" Target="https://mainkekudus.com/news/street-coffee-tren-ngopi-pinggir-jalan-menambah-khas-kuliner-malam-kudus" TargetMode="External"/><Relationship Id="rId6" Type="http://schemas.openxmlformats.org/officeDocument/2006/relationships/hyperlink" Target="https://mainkekudus.com/gears/rank-sport-kudus" TargetMode="External"/><Relationship Id="rId29" Type="http://schemas.openxmlformats.org/officeDocument/2006/relationships/hyperlink" Target="https://mainkekudus.com/news/intip-keseruan-srikandi-fair-semarakkan-turnamen-internasional-libatkan-warga-kudus" TargetMode="External"/><Relationship Id="rId7" Type="http://schemas.openxmlformats.org/officeDocument/2006/relationships/hyperlink" Target="https://mainkekudus.com/news/muria-trail-run-berikan-pengalaman-yang-bikin-pelari-ingin-balik-lagi-dan-lagi" TargetMode="External"/><Relationship Id="rId8" Type="http://schemas.openxmlformats.org/officeDocument/2006/relationships/hyperlink" Target="https://mainkekudus.com/news/10-fakta-tentang-kudus-yang-membuatnya-unik-dan-berbeda-dengan-daerah-lainnya" TargetMode="External"/><Relationship Id="rId31" Type="http://schemas.openxmlformats.org/officeDocument/2006/relationships/hyperlink" Target="https://mainkekudus.com/news/bangga-perjuangkan-merah-putih-di-caffino-srikandi-merdeka-cup-2026" TargetMode="External"/><Relationship Id="rId30" Type="http://schemas.openxmlformats.org/officeDocument/2006/relationships/hyperlink" Target="https://mainkekudus.com/news/timnas-putri-u-16-yordania-berkunjung-ke-srikandi-fair-jelang-semifinal" TargetMode="External"/><Relationship Id="rId11" Type="http://schemas.openxmlformats.org/officeDocument/2006/relationships/hyperlink" Target="https://mainkekudus.com/communities/super-elite-karate-kudus" TargetMode="External"/><Relationship Id="rId33" Type="http://schemas.openxmlformats.org/officeDocument/2006/relationships/hyperlink" Target="https://mainkekudus.com/news/cerita-haru-pemuda-kudus-pembentang-bendera-saat-lagu-indonesia-raya-berkumandang-di-caffino-srikandi-merdeka-cup" TargetMode="External"/><Relationship Id="rId10" Type="http://schemas.openxmlformats.org/officeDocument/2006/relationships/hyperlink" Target="https://mainkekudus.com/news/hydroplus-bupati-cup-xx-2026-menambah-jam-terbang-atlet-bulu-tangkis-kudus" TargetMode="External"/><Relationship Id="rId32" Type="http://schemas.openxmlformats.org/officeDocument/2006/relationships/hyperlink" Target="https://mainkekudus.com/news/antusias-suporter-kudus-dukung-garuda-pertiwi-nonton-langsung-hingga-berburu-nobar-layar-lebar" TargetMode="External"/><Relationship Id="rId13" Type="http://schemas.openxmlformats.org/officeDocument/2006/relationships/hyperlink" Target="https://mainkekudus.com/communities/pbdjarumofficial" TargetMode="External"/><Relationship Id="rId35" Type="http://schemas.openxmlformats.org/officeDocument/2006/relationships/hyperlink" Target="https://mainkekudus.com/news/memupuk-semangat-bulu-tangkis-di-hydroplus-bupati-cup-xx-2026" TargetMode="External"/><Relationship Id="rId12" Type="http://schemas.openxmlformats.org/officeDocument/2006/relationships/hyperlink" Target="https://mainkekudus.com/gears/rodalink" TargetMode="External"/><Relationship Id="rId34" Type="http://schemas.openxmlformats.org/officeDocument/2006/relationships/hyperlink" Target="https://mainkekudus.com/news/ketika-olahraga-dan-seni-menyatu-dalam-pesta-rakyat-srikandi-fair" TargetMode="External"/><Relationship Id="rId15" Type="http://schemas.openxmlformats.org/officeDocument/2006/relationships/hyperlink" Target="https://mainkekudus.com/attractions/museum-kretek" TargetMode="External"/><Relationship Id="rId37" Type="http://schemas.openxmlformats.org/officeDocument/2006/relationships/hyperlink" Target="https://mainkekudus.com/news/dari-tribun-mereka-menjadi-bagian-dari-caffino-srikandi-merdeka-cup" TargetMode="External"/><Relationship Id="rId14" Type="http://schemas.openxmlformats.org/officeDocument/2006/relationships/hyperlink" Target="https://mainkekudus.com/venues/gor-djarum-badminton" TargetMode="External"/><Relationship Id="rId36" Type="http://schemas.openxmlformats.org/officeDocument/2006/relationships/hyperlink" Target="https://mainkekudus.com/news/orang-orang-yang-menemani-para-srikandi-selama-di-kudus" TargetMode="External"/><Relationship Id="rId17" Type="http://schemas.openxmlformats.org/officeDocument/2006/relationships/hyperlink" Target="https://mainkekudus.com/news/ruang-publik-di-kudus-disulap-bernuansa-sepak-bola-selama-berlangsung-caffino-srikandi-merdeka-cup" TargetMode="External"/><Relationship Id="rId39" Type="http://schemas.openxmlformats.org/officeDocument/2006/relationships/hyperlink" Target="https://mainkekudus.com/news/warisan-caffino-srikandi-merdeka-cup-untuk-kudus-dan-sepak-bola-putri-indonesia" TargetMode="External"/><Relationship Id="rId16" Type="http://schemas.openxmlformats.org/officeDocument/2006/relationships/hyperlink" Target="https://mainkekudus.com/news/penginapan-di-rahtawu-tumbuh-bersama-wisata-desa-di-lereng-gunung-muria" TargetMode="External"/><Relationship Id="rId38" Type="http://schemas.openxmlformats.org/officeDocument/2006/relationships/hyperlink" Target="https://mainkekudus.com/communities/spegaku-balistha" TargetMode="External"/><Relationship Id="rId19" Type="http://schemas.openxmlformats.org/officeDocument/2006/relationships/hyperlink" Target="https://mainkekudus.com/accommodations/hotel-griptha" TargetMode="External"/><Relationship Id="rId18" Type="http://schemas.openxmlformats.org/officeDocument/2006/relationships/hyperlink" Target="https://mainkekudus.com/news/kudus-ini-kesan-pertama-tim-yordania-singapura-dan-hong-kong-china"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mainkekudus.com/news/sapphire-boutique-hotel-hadirkan-pengalaman-unik-bagi-timnas-putri-u-16-singapura-dan-arab-saudi" TargetMode="External"/><Relationship Id="rId20" Type="http://schemas.openxmlformats.org/officeDocument/2006/relationships/hyperlink" Target="https://mainkekudus.com/accommodations/mansionite-hotel" TargetMode="External"/><Relationship Id="rId42" Type="http://schemas.openxmlformats.org/officeDocument/2006/relationships/hyperlink" Target="https://mainkekudus.com/news/independence-futsal-league-asah-keterampilan-bertanding-para-pelajar-di-gor-bung-karno-kudus" TargetMode="External"/><Relationship Id="rId41" Type="http://schemas.openxmlformats.org/officeDocument/2006/relationships/hyperlink" Target="https://mainkekudus.com/news/turnamen-internasional-mendatangkan-aktivitas-ekonomi-hingga-ke-toko-olahraga" TargetMode="External"/><Relationship Id="rId22" Type="http://schemas.openxmlformats.org/officeDocument/2006/relationships/hyperlink" Target="https://mainkekudus.com/culinaries/soto-pindang-kudus-haji-sulichan" TargetMode="External"/><Relationship Id="rId44" Type="http://schemas.openxmlformats.org/officeDocument/2006/relationships/drawing" Target="../drawings/drawing3.xml"/><Relationship Id="rId21" Type="http://schemas.openxmlformats.org/officeDocument/2006/relationships/hyperlink" Target="https://mainkekudus.com/culinaries/sate-kerbau-sederhana-pak-bambang" TargetMode="External"/><Relationship Id="rId43" Type="http://schemas.openxmlformats.org/officeDocument/2006/relationships/hyperlink" Target="https://mainkekudus.com/news/geliat-kudus-saat-turnamen-olahraga-menyulut-antusiasme-dan-ekonomi-warga" TargetMode="External"/><Relationship Id="rId24" Type="http://schemas.openxmlformats.org/officeDocument/2006/relationships/hyperlink" Target="https://mainkekudus.com/accommodations/hotel-horison-ij-kudus" TargetMode="External"/><Relationship Id="rId23" Type="http://schemas.openxmlformats.org/officeDocument/2006/relationships/hyperlink" Target="https://mainkekudus.com/venues/djarum-arena-kaliputu" TargetMode="External"/><Relationship Id="rId1" Type="http://schemas.openxmlformats.org/officeDocument/2006/relationships/hyperlink" Target="https://mainkekudus.com/news/muria-trail-run-2026-berlari-dengan-konsep-wisata-olahraga-ramah-lingkungan" TargetMode="External"/><Relationship Id="rId2" Type="http://schemas.openxmlformats.org/officeDocument/2006/relationships/hyperlink" Target="https://mainkekudus.com/news/supersoccer-euro-futsal-championship-2026-city-playoff-kudus-perkuat-persaingan-antar-kota-di-kudus" TargetMode="External"/><Relationship Id="rId3" Type="http://schemas.openxmlformats.org/officeDocument/2006/relationships/hyperlink" Target="https://mainkekudus.com/news/ajang-tanding-tahunan-komunitas-futsal-di-kudus-dan-daerah-sekitarnya" TargetMode="External"/><Relationship Id="rId4" Type="http://schemas.openxmlformats.org/officeDocument/2006/relationships/hyperlink" Target="https://mainkekudus.com/news/peran-pelatih-panahan-membentuk-karakter-atlet-sejak-dini" TargetMode="External"/><Relationship Id="rId9" Type="http://schemas.openxmlformats.org/officeDocument/2006/relationships/hyperlink" Target="https://mainkekudus.com/news/7-kuliner-khas-yang-wajib-dicoba-saat-berkunjung-ke-kudus" TargetMode="External"/><Relationship Id="rId26" Type="http://schemas.openxmlformats.org/officeDocument/2006/relationships/hyperlink" Target="https://mainkekudus.com/news/5-rekomendasi-soto-kudus-yang-wajib-dicoba-saat-berkunjung-ke-kudus" TargetMode="External"/><Relationship Id="rId25" Type="http://schemas.openxmlformats.org/officeDocument/2006/relationships/hyperlink" Target="https://mainkekudus.com/culinaries/lentog-tanjung-pak-di" TargetMode="External"/><Relationship Id="rId28" Type="http://schemas.openxmlformats.org/officeDocument/2006/relationships/hyperlink" Target="https://mainkekudus.com/news/timnas-malaysia-dan-hong-kong-china-terkesan-dengan-jenang-dan-batik-kudus" TargetMode="External"/><Relationship Id="rId27" Type="http://schemas.openxmlformats.org/officeDocument/2006/relationships/hyperlink" Target="https://mainkekudus.com/news/hydroplus-bupati-cup-xx-2026-pertemukan-atlet-berbagai-kelompok-usia" TargetMode="External"/><Relationship Id="rId5" Type="http://schemas.openxmlformats.org/officeDocument/2006/relationships/hyperlink" Target="https://mainkekudus.com/news/street-coffee-tren-ngopi-pinggir-jalan-menambah-khas-kuliner-malam-kudus" TargetMode="External"/><Relationship Id="rId6" Type="http://schemas.openxmlformats.org/officeDocument/2006/relationships/hyperlink" Target="https://mainkekudus.com/gears/rank-sport-kudus" TargetMode="External"/><Relationship Id="rId29" Type="http://schemas.openxmlformats.org/officeDocument/2006/relationships/hyperlink" Target="https://mainkekudus.com/news/intip-keseruan-srikandi-fair-semarakkan-turnamen-internasional-libatkan-warga-kudus" TargetMode="External"/><Relationship Id="rId7" Type="http://schemas.openxmlformats.org/officeDocument/2006/relationships/hyperlink" Target="https://mainkekudus.com/news/muria-trail-run-berikan-pengalaman-yang-bikin-pelari-ingin-balik-lagi-dan-lagi" TargetMode="External"/><Relationship Id="rId8" Type="http://schemas.openxmlformats.org/officeDocument/2006/relationships/hyperlink" Target="https://mainkekudus.com/news/10-fakta-tentang-kudus-yang-membuatnya-unik-dan-berbeda-dengan-daerah-lainnya" TargetMode="External"/><Relationship Id="rId31" Type="http://schemas.openxmlformats.org/officeDocument/2006/relationships/hyperlink" Target="https://mainkekudus.com/news/bangga-perjuangkan-merah-putih-di-caffino-srikandi-merdeka-cup-2026" TargetMode="External"/><Relationship Id="rId30" Type="http://schemas.openxmlformats.org/officeDocument/2006/relationships/hyperlink" Target="https://mainkekudus.com/news/timnas-putri-u-16-yordania-berkunjung-ke-srikandi-fair-jelang-semifinal" TargetMode="External"/><Relationship Id="rId11" Type="http://schemas.openxmlformats.org/officeDocument/2006/relationships/hyperlink" Target="https://mainkekudus.com/communities/super-elite-karate-kudus" TargetMode="External"/><Relationship Id="rId33" Type="http://schemas.openxmlformats.org/officeDocument/2006/relationships/hyperlink" Target="https://mainkekudus.com/news/cerita-haru-pemuda-kudus-pembentang-bendera-saat-lagu-indonesia-raya-berkumandang-di-caffino-srikandi-merdeka-cup" TargetMode="External"/><Relationship Id="rId10" Type="http://schemas.openxmlformats.org/officeDocument/2006/relationships/hyperlink" Target="https://mainkekudus.com/news/hydroplus-bupati-cup-xx-2026-menambah-jam-terbang-atlet-bulu-tangkis-kudus" TargetMode="External"/><Relationship Id="rId32" Type="http://schemas.openxmlformats.org/officeDocument/2006/relationships/hyperlink" Target="https://mainkekudus.com/news/antusias-suporter-kudus-dukung-garuda-pertiwi-nonton-langsung-hingga-berburu-nobar-layar-lebar" TargetMode="External"/><Relationship Id="rId13" Type="http://schemas.openxmlformats.org/officeDocument/2006/relationships/hyperlink" Target="https://mainkekudus.com/communities/pbdjarumofficial" TargetMode="External"/><Relationship Id="rId35" Type="http://schemas.openxmlformats.org/officeDocument/2006/relationships/hyperlink" Target="https://mainkekudus.com/news/memupuk-semangat-bulu-tangkis-di-hydroplus-bupati-cup-xx-2026" TargetMode="External"/><Relationship Id="rId12" Type="http://schemas.openxmlformats.org/officeDocument/2006/relationships/hyperlink" Target="https://mainkekudus.com/gears/rodalink" TargetMode="External"/><Relationship Id="rId34" Type="http://schemas.openxmlformats.org/officeDocument/2006/relationships/hyperlink" Target="https://mainkekudus.com/news/ketika-olahraga-dan-seni-menyatu-dalam-pesta-rakyat-srikandi-fair" TargetMode="External"/><Relationship Id="rId15" Type="http://schemas.openxmlformats.org/officeDocument/2006/relationships/hyperlink" Target="https://mainkekudus.com/attractions/museum-kretek" TargetMode="External"/><Relationship Id="rId37" Type="http://schemas.openxmlformats.org/officeDocument/2006/relationships/hyperlink" Target="https://mainkekudus.com/news/dari-tribun-mereka-menjadi-bagian-dari-caffino-srikandi-merdeka-cup" TargetMode="External"/><Relationship Id="rId14" Type="http://schemas.openxmlformats.org/officeDocument/2006/relationships/hyperlink" Target="https://mainkekudus.com/venues/gor-djarum-badminton" TargetMode="External"/><Relationship Id="rId36" Type="http://schemas.openxmlformats.org/officeDocument/2006/relationships/hyperlink" Target="https://mainkekudus.com/news/orang-orang-yang-menemani-para-srikandi-selama-di-kudus" TargetMode="External"/><Relationship Id="rId17" Type="http://schemas.openxmlformats.org/officeDocument/2006/relationships/hyperlink" Target="https://mainkekudus.com/news/ruang-publik-di-kudus-disulap-bernuansa-sepak-bola-selama-berlangsung-caffino-srikandi-merdeka-cup" TargetMode="External"/><Relationship Id="rId39" Type="http://schemas.openxmlformats.org/officeDocument/2006/relationships/hyperlink" Target="https://mainkekudus.com/news/warisan-caffino-srikandi-merdeka-cup-untuk-kudus-dan-sepak-bola-putri-indonesia" TargetMode="External"/><Relationship Id="rId16" Type="http://schemas.openxmlformats.org/officeDocument/2006/relationships/hyperlink" Target="https://mainkekudus.com/news/penginapan-di-rahtawu-tumbuh-bersama-wisata-desa-di-lereng-gunung-muria" TargetMode="External"/><Relationship Id="rId38" Type="http://schemas.openxmlformats.org/officeDocument/2006/relationships/hyperlink" Target="https://mainkekudus.com/communities/spegaku-balistha" TargetMode="External"/><Relationship Id="rId19" Type="http://schemas.openxmlformats.org/officeDocument/2006/relationships/hyperlink" Target="https://mainkekudus.com/accommodations/hotel-griptha" TargetMode="External"/><Relationship Id="rId18" Type="http://schemas.openxmlformats.org/officeDocument/2006/relationships/hyperlink" Target="https://mainkekudus.com/news/kudus-ini-kesan-pertama-tim-yordania-singapura-dan-hong-kong-china"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0" width="12.63"/>
  </cols>
  <sheetData>
    <row r="1" ht="24.0" customHeight="1">
      <c r="A1" s="72" t="str">
        <f>"MAIN KE KUDUS - NEWS MONTHLY PERFORMANCE REPORT - " &amp; (UPPER(Ref!J2)) &amp; " " &amp; Ref!K2</f>
        <v>MAIN KE KUDUS - NEWS MONTHLY PERFORMANCE REPORT - AUGUST 2026</v>
      </c>
    </row>
    <row r="2" ht="24.0" customHeight="1"/>
    <row r="3">
      <c r="A3" s="12"/>
      <c r="B3" s="12"/>
      <c r="C3" s="12"/>
      <c r="D3" s="12"/>
      <c r="E3" s="12"/>
      <c r="F3" s="12"/>
      <c r="G3" s="12"/>
      <c r="H3" s="12"/>
      <c r="I3" s="12"/>
      <c r="J3" s="12"/>
    </row>
    <row r="4" ht="18.0" customHeight="1">
      <c r="A4" s="20" t="s">
        <v>139</v>
      </c>
      <c r="B4" s="11"/>
      <c r="C4" s="20" t="s">
        <v>140</v>
      </c>
      <c r="D4" s="11"/>
      <c r="E4" s="20" t="s">
        <v>9</v>
      </c>
      <c r="F4" s="11"/>
      <c r="G4" s="20" t="s">
        <v>141</v>
      </c>
      <c r="H4" s="8"/>
      <c r="I4" s="20" t="s">
        <v>10</v>
      </c>
      <c r="J4" s="11"/>
    </row>
    <row r="5">
      <c r="A5" s="26">
        <f>COUNTA('03 Publishing Log'!C10:C190)</f>
        <v>43</v>
      </c>
      <c r="B5" s="5"/>
      <c r="C5" s="26">
        <f>SUM('02 Article Performance'!F7:F49)</f>
        <v>1306</v>
      </c>
      <c r="D5" s="5"/>
      <c r="E5" s="26">
        <f>Ref!$I$3</f>
        <v>60</v>
      </c>
      <c r="F5" s="5"/>
      <c r="G5" s="81" t="str">
        <f>COUNTA('03 Publishing Log'!C10:C190) &amp; " / " &amp; (COUNTA('03 Publishing Log'!C10:C190))</f>
        <v>43 / 43</v>
      </c>
      <c r="H5" s="5"/>
      <c r="I5" s="29">
        <f>A5/E5</f>
        <v>0.7166666667</v>
      </c>
      <c r="J5" s="5"/>
    </row>
    <row r="6">
      <c r="A6" s="7"/>
      <c r="B6" s="10"/>
      <c r="C6" s="7"/>
      <c r="D6" s="10"/>
      <c r="E6" s="7"/>
      <c r="F6" s="10"/>
      <c r="G6" s="7"/>
      <c r="H6" s="10"/>
      <c r="I6" s="7"/>
      <c r="J6" s="10"/>
    </row>
    <row r="7">
      <c r="A7" s="12"/>
      <c r="B7" s="12"/>
      <c r="C7" s="12"/>
      <c r="D7" s="12"/>
      <c r="E7" s="12"/>
      <c r="F7" s="12"/>
      <c r="G7" s="12"/>
      <c r="H7" s="12"/>
      <c r="I7" s="12"/>
      <c r="J7" s="12"/>
    </row>
    <row r="8">
      <c r="A8" s="12"/>
      <c r="B8" s="12"/>
      <c r="C8" s="12"/>
      <c r="D8" s="12"/>
      <c r="E8" s="12"/>
      <c r="F8" s="12"/>
      <c r="G8" s="12"/>
      <c r="H8" s="12"/>
      <c r="I8" s="12"/>
      <c r="J8" s="12"/>
    </row>
    <row r="9">
      <c r="A9" s="82" t="s">
        <v>156</v>
      </c>
      <c r="B9" s="8"/>
      <c r="C9" s="8"/>
      <c r="D9" s="8"/>
      <c r="E9" s="8"/>
      <c r="F9" s="8"/>
      <c r="G9" s="8"/>
      <c r="H9" s="8"/>
      <c r="I9" s="8"/>
      <c r="J9" s="11"/>
    </row>
    <row r="10" ht="22.5" customHeight="1">
      <c r="A10" s="83" t="str">
        <f t="array" ref="A10">_xlfn.XLOOKUP(MAX('02 Article Performance'!F7:F49), '02 Article Performance'!F7:F49, '02 Article Performance'!C7:C49)</f>
        <v>Horison IJ Menjadi Tempat Tinggal Timnas Putri U-16 Yordania di Kudus</v>
      </c>
      <c r="B10" s="4"/>
      <c r="C10" s="4"/>
      <c r="D10" s="4"/>
      <c r="E10" s="4"/>
      <c r="F10" s="5"/>
      <c r="G10" s="84" t="s">
        <v>161</v>
      </c>
      <c r="H10" s="11"/>
      <c r="I10" s="84" t="s">
        <v>163</v>
      </c>
      <c r="J10" s="11"/>
    </row>
    <row r="11" ht="22.5" customHeight="1">
      <c r="A11" s="85"/>
      <c r="F11" s="86"/>
      <c r="G11" s="87">
        <f>MAX('02 Article Performance'!F7:F49)</f>
        <v>77</v>
      </c>
      <c r="H11" s="5"/>
      <c r="I11" s="88">
        <f t="array" ref="I11">_xlfn.XLOOKUP(MAX('02 Article Performance'!F7:F49), '02 Article Performance'!F7:F49, '02 Article Performance'!I7:I49)</f>
        <v>0.0003928755144</v>
      </c>
      <c r="J11" s="5"/>
    </row>
    <row r="12" ht="22.5" customHeight="1">
      <c r="A12" s="7"/>
      <c r="B12" s="9"/>
      <c r="C12" s="9"/>
      <c r="D12" s="9"/>
      <c r="E12" s="9"/>
      <c r="F12" s="10"/>
      <c r="G12" s="7"/>
      <c r="H12" s="10"/>
      <c r="I12" s="7"/>
      <c r="J12" s="10"/>
    </row>
    <row r="13">
      <c r="A13" s="12"/>
      <c r="B13" s="12"/>
      <c r="C13" s="12"/>
      <c r="D13" s="12"/>
      <c r="E13" s="12"/>
      <c r="F13" s="12"/>
      <c r="G13" s="12"/>
      <c r="H13" s="12"/>
      <c r="I13" s="12"/>
      <c r="J13" s="12"/>
    </row>
    <row r="14">
      <c r="A14" s="12"/>
      <c r="B14" s="12"/>
      <c r="C14" s="12"/>
      <c r="D14" s="12"/>
      <c r="E14" s="12"/>
      <c r="F14" s="12"/>
      <c r="G14" s="12"/>
      <c r="H14" s="12"/>
      <c r="I14" s="12"/>
      <c r="J14" s="12"/>
    </row>
    <row r="15" ht="22.5" customHeight="1">
      <c r="A15" s="82" t="s">
        <v>171</v>
      </c>
      <c r="B15" s="8"/>
      <c r="C15" s="8"/>
      <c r="D15" s="8"/>
      <c r="E15" s="8"/>
      <c r="F15" s="8"/>
      <c r="G15" s="8"/>
      <c r="H15" s="8"/>
      <c r="I15" s="8"/>
      <c r="J15" s="11"/>
    </row>
    <row r="16" ht="22.5" customHeight="1">
      <c r="A16" s="89" t="str">
        <f>"All " &amp; (COUNTA('03 Publishing Log'!C10:C190)) &amp; " " &amp; Ref!J2 &amp; "-published URLs were matched successfully to GA4 page-path data."</f>
        <v>All 43 August-published URLs were matched successfully to GA4 page-path data.</v>
      </c>
      <c r="B16" s="8"/>
      <c r="C16" s="8"/>
      <c r="D16" s="8"/>
      <c r="E16" s="8"/>
      <c r="F16" s="8"/>
      <c r="G16" s="8"/>
      <c r="H16" s="8"/>
      <c r="I16" s="8"/>
      <c r="J16" s="11"/>
    </row>
    <row r="17" ht="22.5" customHeight="1">
      <c r="A17" s="89" t="str">
        <f>"The " &amp; Ref!J2 &amp; " content cohort generated " &amp; TEXT(SUM('02 Article Performance'!F7:F49), "#,##0") &amp; " article views during 1–" &amp; DAY(EOMONTH(Ref!J2 &amp; " 1, " &amp; Ref!K2, 0)) &amp; " " &amp; Ref!J2 &amp; " " &amp; Ref!K2 &amp; "."</f>
        <v>The August content cohort generated 1,306 article views during 1–31 August 2026.</v>
      </c>
      <c r="B17" s="8"/>
      <c r="C17" s="8"/>
      <c r="D17" s="8"/>
      <c r="E17" s="8"/>
      <c r="F17" s="8"/>
      <c r="G17" s="8"/>
      <c r="H17" s="8"/>
      <c r="I17" s="8"/>
      <c r="J17" s="11"/>
    </row>
    <row r="18" ht="22.5" customHeight="1">
      <c r="A18" s="89" t="str">
        <f t="array" ref="A18">"The top-performing article was '" &amp; (_xlfn.XLOOKUP(MAX('02 Article Performance'!F7:F49), '02 Article Performance'!F7:F49, '02 Article Performance'!C7:C49)) &amp; "' with " &amp; (MAX('02 Article Performance'!F7:F49)) &amp; " views."</f>
        <v>The top-performing article was 'Horison IJ Menjadi Tempat Tinggal Timnas Putri U-16 Yordania di Kudus' with 77 views.</v>
      </c>
      <c r="B18" s="8"/>
      <c r="C18" s="8"/>
      <c r="D18" s="8"/>
      <c r="E18" s="8"/>
      <c r="F18" s="8"/>
      <c r="G18" s="8"/>
      <c r="H18" s="8"/>
      <c r="I18" s="8"/>
      <c r="J18" s="11"/>
    </row>
    <row r="19">
      <c r="A19" s="89" t="str">
        <f t="array" ref="A19">LET(
  sortedData, SORT('02 Article Performance'!C7:I49, '02 Article Performance'!F7:F49, FALSE),
  titleTwo, INDEX(sortedData, 2, 1),
  viewsTwo, INDEX(sortedData, 2, 4),
  timeTwo, TEXT(INDEX(sortedData, 2, 7), "m:ss"),
  titleThree, INDEX(sortedData, 3, 1),
  viewsThree, INDEX(sortedData, 3, 4),
  timeThree, TEXT(INDEX(sortedData, 3, 7), "m:ss"),
  "'" &amp; titleTwo &amp; "' recorded " &amp; viewsTwo &amp; " views with " &amp; timeTwo &amp; " average engagement per active user, while " &amp; titleThree &amp; " reached " &amp; viewsThree &amp; " views with " &amp; timeThree &amp; " average engagement."
)</f>
        <v>'Rodalink Kudus, One Stop Service untuk Semua Kebutuhan Pesepeda' recorded 76 views with 1:04 average engagement per active user, while Super Elite Karate Kudus Gembleng Atlet dari Dojo hingga Podium reached 74 views with 2:02 average engagement.</v>
      </c>
      <c r="B19" s="8"/>
      <c r="C19" s="8"/>
      <c r="D19" s="8"/>
      <c r="E19" s="8"/>
      <c r="F19" s="8"/>
      <c r="G19" s="8"/>
      <c r="H19" s="8"/>
      <c r="I19" s="8"/>
      <c r="J19" s="11"/>
    </row>
    <row r="20" ht="15.75" customHeight="1">
      <c r="A20" s="12"/>
      <c r="B20" s="12"/>
      <c r="C20" s="12"/>
      <c r="D20" s="12"/>
      <c r="E20" s="12"/>
      <c r="F20" s="12"/>
      <c r="G20" s="12"/>
      <c r="H20" s="12"/>
      <c r="I20" s="12"/>
      <c r="J20" s="12"/>
    </row>
    <row r="21" ht="15.75" customHeight="1">
      <c r="A21" s="12"/>
      <c r="B21" s="12"/>
      <c r="C21" s="12"/>
      <c r="D21" s="12"/>
      <c r="E21" s="12"/>
      <c r="F21" s="12"/>
      <c r="G21" s="12"/>
      <c r="H21" s="12"/>
      <c r="I21" s="12"/>
      <c r="J21" s="12"/>
    </row>
    <row r="22" ht="15.75" customHeight="1">
      <c r="A22" s="82" t="s">
        <v>190</v>
      </c>
      <c r="B22" s="8"/>
      <c r="C22" s="8"/>
      <c r="D22" s="8"/>
      <c r="E22" s="8"/>
      <c r="F22" s="8"/>
      <c r="G22" s="8"/>
      <c r="H22" s="8"/>
      <c r="I22" s="8"/>
      <c r="J22" s="11"/>
    </row>
    <row r="23" ht="15.75" customHeight="1">
      <c r="A23" s="91"/>
      <c r="B23" s="91"/>
      <c r="C23" s="91"/>
      <c r="D23" s="91"/>
      <c r="E23" s="91"/>
      <c r="F23" s="91"/>
      <c r="G23" s="91"/>
      <c r="H23" s="91"/>
      <c r="I23" s="91"/>
      <c r="J23" s="91"/>
    </row>
    <row r="24" ht="15.75" customHeight="1">
      <c r="A24" s="91"/>
      <c r="B24" s="91"/>
      <c r="C24" s="91"/>
      <c r="D24" s="91"/>
      <c r="E24" s="91"/>
      <c r="F24" s="91"/>
      <c r="G24" s="91"/>
      <c r="H24" s="91"/>
      <c r="I24" s="91"/>
      <c r="J24" s="91"/>
    </row>
    <row r="25" ht="15.75" customHeight="1">
      <c r="A25" s="91"/>
      <c r="B25" s="91"/>
      <c r="C25" s="91"/>
      <c r="D25" s="91"/>
      <c r="E25" s="91"/>
      <c r="F25" s="91"/>
      <c r="G25" s="91"/>
      <c r="H25" s="91"/>
      <c r="I25" s="91"/>
      <c r="J25" s="91"/>
    </row>
    <row r="26" ht="15.75" customHeight="1">
      <c r="A26" s="91"/>
      <c r="B26" s="91"/>
      <c r="C26" s="91"/>
      <c r="D26" s="91"/>
      <c r="E26" s="91"/>
      <c r="F26" s="91"/>
      <c r="G26" s="91"/>
      <c r="H26" s="91"/>
      <c r="I26" s="91"/>
      <c r="J26" s="91"/>
    </row>
    <row r="27" ht="15.75" customHeight="1">
      <c r="A27" s="91"/>
      <c r="B27" s="91"/>
      <c r="C27" s="91"/>
      <c r="D27" s="91"/>
      <c r="E27" s="91"/>
      <c r="F27" s="91"/>
      <c r="G27" s="91"/>
      <c r="H27" s="91"/>
      <c r="I27" s="91"/>
      <c r="J27" s="91"/>
    </row>
    <row r="28" ht="15.75" customHeight="1">
      <c r="A28" s="91"/>
      <c r="B28" s="91"/>
      <c r="C28" s="91"/>
      <c r="D28" s="91"/>
      <c r="E28" s="91"/>
      <c r="F28" s="91"/>
      <c r="G28" s="91"/>
      <c r="H28" s="91"/>
      <c r="I28" s="91"/>
      <c r="J28" s="91"/>
    </row>
    <row r="29" ht="15.75" customHeight="1">
      <c r="A29" s="91"/>
      <c r="B29" s="91"/>
      <c r="C29" s="91"/>
      <c r="D29" s="91"/>
      <c r="E29" s="91"/>
      <c r="F29" s="91"/>
      <c r="G29" s="91"/>
      <c r="H29" s="91"/>
      <c r="I29" s="91"/>
      <c r="J29" s="91"/>
    </row>
    <row r="30" ht="15.75" customHeight="1">
      <c r="A30" s="91"/>
      <c r="B30" s="91"/>
      <c r="C30" s="91"/>
      <c r="D30" s="91"/>
      <c r="E30" s="91"/>
      <c r="F30" s="91"/>
      <c r="G30" s="91"/>
      <c r="H30" s="91"/>
      <c r="I30" s="91"/>
      <c r="J30" s="91"/>
    </row>
    <row r="31" ht="15.75" customHeight="1">
      <c r="A31" s="91"/>
      <c r="B31" s="91"/>
      <c r="C31" s="91"/>
      <c r="D31" s="91"/>
      <c r="E31" s="91"/>
      <c r="F31" s="91"/>
      <c r="G31" s="91"/>
      <c r="H31" s="91"/>
      <c r="I31" s="91"/>
      <c r="J31" s="91"/>
    </row>
    <row r="32" ht="15.75" customHeight="1">
      <c r="A32" s="91"/>
      <c r="B32" s="91"/>
      <c r="C32" s="91"/>
      <c r="D32" s="91"/>
      <c r="E32" s="91"/>
      <c r="F32" s="91"/>
      <c r="G32" s="91"/>
      <c r="H32" s="91"/>
      <c r="I32" s="91"/>
      <c r="J32" s="91"/>
    </row>
    <row r="33" ht="15.75" customHeight="1">
      <c r="A33" s="91"/>
      <c r="B33" s="91"/>
      <c r="C33" s="91"/>
      <c r="D33" s="91"/>
      <c r="E33" s="91"/>
      <c r="F33" s="91"/>
      <c r="G33" s="91"/>
      <c r="H33" s="91"/>
      <c r="I33" s="91"/>
      <c r="J33" s="91"/>
    </row>
    <row r="34" ht="15.75" customHeight="1">
      <c r="A34" s="91"/>
      <c r="B34" s="91"/>
      <c r="C34" s="91"/>
      <c r="D34" s="91"/>
      <c r="E34" s="91"/>
      <c r="F34" s="91"/>
      <c r="G34" s="91"/>
      <c r="H34" s="91"/>
      <c r="I34" s="91"/>
      <c r="J34" s="91"/>
    </row>
    <row r="35" ht="15.75" customHeight="1">
      <c r="A35" s="91"/>
      <c r="B35" s="91"/>
      <c r="C35" s="91"/>
      <c r="D35" s="91"/>
      <c r="E35" s="91"/>
      <c r="F35" s="91"/>
      <c r="G35" s="91"/>
      <c r="H35" s="91"/>
      <c r="I35" s="91"/>
      <c r="J35" s="91"/>
    </row>
    <row r="36" ht="15.75" customHeight="1">
      <c r="A36" s="93"/>
      <c r="B36" s="93"/>
      <c r="C36" s="93"/>
      <c r="D36" s="93"/>
      <c r="E36" s="91"/>
      <c r="F36" s="91"/>
      <c r="G36" s="93"/>
      <c r="H36" s="93"/>
      <c r="I36" s="93"/>
      <c r="J36" s="93"/>
    </row>
    <row r="37" ht="15.75" customHeight="1">
      <c r="A37" s="94" t="s">
        <v>36</v>
      </c>
      <c r="B37" s="95" t="s">
        <v>197</v>
      </c>
      <c r="C37" s="96" t="s">
        <v>200</v>
      </c>
      <c r="D37" s="97"/>
      <c r="E37" s="98"/>
      <c r="F37" s="99"/>
      <c r="G37" s="100" t="s">
        <v>44</v>
      </c>
      <c r="H37" s="95" t="s">
        <v>201</v>
      </c>
      <c r="I37" s="96" t="s">
        <v>202</v>
      </c>
      <c r="J37" s="97"/>
    </row>
    <row r="38" ht="15.75" customHeight="1">
      <c r="A38" s="101" t="s">
        <v>75</v>
      </c>
      <c r="B38" s="101">
        <f>COUNTIF('03 Publishing Log'!$G$7:$G$59,A38)</f>
        <v>13</v>
      </c>
      <c r="C38" s="102">
        <f>B38/B41</f>
        <v>0.3023255814</v>
      </c>
      <c r="D38" s="10"/>
      <c r="E38" s="15"/>
      <c r="F38" s="15"/>
      <c r="G38" s="101" t="s">
        <v>59</v>
      </c>
      <c r="H38" s="101">
        <f>COUNTIF('03 Publishing Log'!$F$10:$F$190,G38)</f>
        <v>4</v>
      </c>
      <c r="I38" s="102">
        <f t="shared" ref="I38:I49" si="1">H38/$H$49</f>
        <v>0.06666666667</v>
      </c>
      <c r="J38" s="10"/>
    </row>
    <row r="39" ht="15.75" customHeight="1">
      <c r="A39" s="103" t="s">
        <v>70</v>
      </c>
      <c r="B39" s="103">
        <f>COUNTIF('03 Publishing Log'!$G$7:$G$59,A39)</f>
        <v>27</v>
      </c>
      <c r="C39" s="106">
        <f>B39/B41</f>
        <v>0.6279069767</v>
      </c>
      <c r="D39" s="11"/>
      <c r="E39" s="15"/>
      <c r="F39" s="15"/>
      <c r="G39" s="103" t="s">
        <v>67</v>
      </c>
      <c r="H39" s="103">
        <f>COUNTIF('03 Publishing Log'!$F$10:$F$190,G39)</f>
        <v>2</v>
      </c>
      <c r="I39" s="106">
        <f t="shared" si="1"/>
        <v>0.03333333333</v>
      </c>
      <c r="J39" s="11"/>
    </row>
    <row r="40" ht="15.75" customHeight="1">
      <c r="A40" s="108" t="s">
        <v>63</v>
      </c>
      <c r="B40" s="103">
        <f>COUNTIF('03 Publishing Log'!$G$7:$G$59,A40)</f>
        <v>3</v>
      </c>
      <c r="C40" s="111">
        <f>B40/B41</f>
        <v>0.06976744186</v>
      </c>
      <c r="D40" s="11"/>
      <c r="E40" s="15"/>
      <c r="F40" s="15"/>
      <c r="G40" s="103" t="s">
        <v>72</v>
      </c>
      <c r="H40" s="103">
        <f>COUNTIF('03 Publishing Log'!$F$10:$F$190,G40)</f>
        <v>0</v>
      </c>
      <c r="I40" s="106">
        <f t="shared" si="1"/>
        <v>0</v>
      </c>
      <c r="J40" s="11"/>
    </row>
    <row r="41" ht="15.75" customHeight="1">
      <c r="A41" s="112" t="s">
        <v>210</v>
      </c>
      <c r="B41" s="112">
        <f>SUM(B38:B40)</f>
        <v>43</v>
      </c>
      <c r="C41" s="113">
        <f>1</f>
        <v>1</v>
      </c>
      <c r="D41" s="11"/>
      <c r="E41" s="15"/>
      <c r="F41" s="15"/>
      <c r="G41" s="103" t="s">
        <v>79</v>
      </c>
      <c r="H41" s="103">
        <f>COUNTIF('03 Publishing Log'!$F$10:$F$190,G41)</f>
        <v>3</v>
      </c>
      <c r="I41" s="106">
        <f t="shared" si="1"/>
        <v>0.05</v>
      </c>
      <c r="J41" s="11"/>
    </row>
    <row r="42" ht="15.75" customHeight="1">
      <c r="A42" s="15"/>
      <c r="B42" s="15"/>
      <c r="C42" s="15"/>
      <c r="D42" s="15"/>
      <c r="E42" s="15"/>
      <c r="F42" s="15"/>
      <c r="G42" s="103" t="s">
        <v>82</v>
      </c>
      <c r="H42" s="103">
        <f>COUNTIF('03 Publishing Log'!$F$10:$F$190,G42)</f>
        <v>21</v>
      </c>
      <c r="I42" s="106">
        <f t="shared" si="1"/>
        <v>0.35</v>
      </c>
      <c r="J42" s="11"/>
    </row>
    <row r="43" ht="15.75" customHeight="1">
      <c r="A43" s="15"/>
      <c r="B43" s="15"/>
      <c r="C43" s="15"/>
      <c r="D43" s="15"/>
      <c r="E43" s="15"/>
      <c r="F43" s="15"/>
      <c r="G43" s="103" t="s">
        <v>84</v>
      </c>
      <c r="H43" s="103">
        <f>COUNTIF('03 Publishing Log'!$F$10:$F$190,G43)</f>
        <v>0</v>
      </c>
      <c r="I43" s="106">
        <f t="shared" si="1"/>
        <v>0</v>
      </c>
      <c r="J43" s="11"/>
    </row>
    <row r="44" ht="15.75" customHeight="1">
      <c r="A44" s="15"/>
      <c r="B44" s="15"/>
      <c r="C44" s="15"/>
      <c r="D44" s="15"/>
      <c r="E44" s="15"/>
      <c r="F44" s="15"/>
      <c r="G44" s="103" t="s">
        <v>87</v>
      </c>
      <c r="H44" s="103">
        <f>COUNTIF('03 Publishing Log'!$F$10:$F$190,G44)</f>
        <v>3</v>
      </c>
      <c r="I44" s="106">
        <f t="shared" si="1"/>
        <v>0.05</v>
      </c>
      <c r="J44" s="11"/>
    </row>
    <row r="45" ht="15.75" customHeight="1">
      <c r="A45" s="15"/>
      <c r="B45" s="15"/>
      <c r="C45" s="15"/>
      <c r="D45" s="15"/>
      <c r="E45" s="15"/>
      <c r="F45" s="15"/>
      <c r="G45" s="103" t="s">
        <v>89</v>
      </c>
      <c r="H45" s="103">
        <f>COUNTIF('03 Publishing Log'!$F$10:$F$190,G45)</f>
        <v>6</v>
      </c>
      <c r="I45" s="106">
        <f t="shared" si="1"/>
        <v>0.1</v>
      </c>
      <c r="J45" s="11"/>
    </row>
    <row r="46" ht="15.75" customHeight="1">
      <c r="A46" s="15"/>
      <c r="B46" s="15"/>
      <c r="C46" s="15"/>
      <c r="D46" s="15"/>
      <c r="E46" s="15"/>
      <c r="F46" s="15"/>
      <c r="G46" s="103" t="s">
        <v>97</v>
      </c>
      <c r="H46" s="103">
        <f>COUNTIF('03 Publishing Log'!$F$10:$F$190,G46)</f>
        <v>3</v>
      </c>
      <c r="I46" s="106">
        <f t="shared" si="1"/>
        <v>0.05</v>
      </c>
      <c r="J46" s="11"/>
    </row>
    <row r="47" ht="15.75" customHeight="1">
      <c r="A47" s="15"/>
      <c r="B47" s="15"/>
      <c r="C47" s="15"/>
      <c r="D47" s="15"/>
      <c r="E47" s="15"/>
      <c r="F47" s="15"/>
      <c r="G47" s="116" t="s">
        <v>99</v>
      </c>
      <c r="H47" s="116">
        <f>COUNTIF('03 Publishing Log'!$F$10:$F$190,G47)</f>
        <v>0</v>
      </c>
      <c r="I47" s="117">
        <f t="shared" si="1"/>
        <v>0</v>
      </c>
      <c r="J47" s="5"/>
    </row>
    <row r="48" ht="15.75" customHeight="1">
      <c r="A48" s="15"/>
      <c r="B48" s="15"/>
      <c r="C48" s="15"/>
      <c r="D48" s="15"/>
      <c r="E48" s="15"/>
      <c r="F48" s="99"/>
      <c r="G48" s="118" t="s">
        <v>213</v>
      </c>
      <c r="H48" s="118">
        <f>MAX(Ref!$I$3-COUNTA('03 Publishing Log'!$C$10:$C$190),0)</f>
        <v>17</v>
      </c>
      <c r="I48" s="119">
        <f t="shared" si="1"/>
        <v>0.2833333333</v>
      </c>
      <c r="J48" s="120"/>
    </row>
    <row r="49" ht="15.75" customHeight="1">
      <c r="A49" s="15"/>
      <c r="B49" s="15"/>
      <c r="C49" s="15"/>
      <c r="D49" s="15"/>
      <c r="E49" s="15"/>
      <c r="F49" s="15"/>
      <c r="G49" s="121" t="s">
        <v>30</v>
      </c>
      <c r="H49" s="121">
        <f>Ref!$I$3</f>
        <v>60</v>
      </c>
      <c r="I49" s="122">
        <f t="shared" si="1"/>
        <v>1</v>
      </c>
      <c r="J49" s="10"/>
    </row>
    <row r="50" ht="15.75" customHeight="1">
      <c r="A50" s="15"/>
      <c r="B50" s="15"/>
      <c r="C50" s="15"/>
      <c r="D50" s="15"/>
      <c r="E50" s="15"/>
      <c r="F50" s="15"/>
      <c r="G50" s="15"/>
      <c r="H50" s="15"/>
      <c r="I50" s="15"/>
      <c r="J50" s="15"/>
    </row>
    <row r="51" ht="15.75" customHeight="1">
      <c r="A51" s="123"/>
      <c r="B51" s="123"/>
      <c r="C51" s="123"/>
      <c r="D51" s="123"/>
      <c r="E51" s="123"/>
      <c r="F51" s="123"/>
      <c r="G51" s="123"/>
      <c r="H51" s="123"/>
      <c r="I51" s="123"/>
      <c r="J51" s="123"/>
    </row>
    <row r="52" ht="15.75" customHeight="1">
      <c r="A52" s="124" t="str">
        <f>"GA4 readership performance is based on exact URL matching between the " &amp; Ref!J2 &amp; " Publishing Log and the Pages and screens export for 1–" &amp; DAY(EOMONTH(Ref!J2 &amp; " 1, " &amp; Ref!K2, 0)) &amp; " " &amp; Ref!J2 &amp; " " &amp; Ref!K2 &amp; ". All " &amp; (COUNTA('03 Publishing Log'!C10:C190)) &amp; " published URLs matched. Google Search Console metrics can be added separately to evaluate organic search discovery."</f>
        <v>GA4 readership performance is based on exact URL matching between the August Publishing Log and the Pages and screens export for 1–31 August 2026. All 43 published URLs matched. Google Search Console metrics can be added separately to evaluate organic search discovery.</v>
      </c>
      <c r="B52" s="8"/>
      <c r="C52" s="8"/>
      <c r="D52" s="8"/>
      <c r="E52" s="8"/>
      <c r="F52" s="8"/>
      <c r="G52" s="8"/>
      <c r="H52" s="8"/>
      <c r="I52" s="8"/>
      <c r="J52" s="11"/>
    </row>
    <row r="53" ht="15.75" customHeight="1">
      <c r="A53" s="123"/>
      <c r="B53" s="123"/>
      <c r="C53" s="123"/>
      <c r="D53" s="123"/>
      <c r="E53" s="123"/>
      <c r="F53" s="123"/>
      <c r="G53" s="123"/>
      <c r="H53" s="123"/>
      <c r="I53" s="123"/>
      <c r="J53" s="123"/>
    </row>
  </sheetData>
  <mergeCells count="42">
    <mergeCell ref="C5:D6"/>
    <mergeCell ref="E5:F6"/>
    <mergeCell ref="C37:D37"/>
    <mergeCell ref="C38:D38"/>
    <mergeCell ref="C39:D39"/>
    <mergeCell ref="C40:D40"/>
    <mergeCell ref="C41:D41"/>
    <mergeCell ref="A1:J2"/>
    <mergeCell ref="A4:B4"/>
    <mergeCell ref="C4:D4"/>
    <mergeCell ref="E4:F4"/>
    <mergeCell ref="G4:H4"/>
    <mergeCell ref="I4:J4"/>
    <mergeCell ref="A5:B6"/>
    <mergeCell ref="A16:J16"/>
    <mergeCell ref="A17:J17"/>
    <mergeCell ref="A18:J18"/>
    <mergeCell ref="A19:J19"/>
    <mergeCell ref="A22:J22"/>
    <mergeCell ref="A9:J9"/>
    <mergeCell ref="A10:F12"/>
    <mergeCell ref="G10:H10"/>
    <mergeCell ref="I10:J10"/>
    <mergeCell ref="G11:H12"/>
    <mergeCell ref="I11:J12"/>
    <mergeCell ref="A15:J15"/>
    <mergeCell ref="G5:H6"/>
    <mergeCell ref="I5:J6"/>
    <mergeCell ref="I37:J37"/>
    <mergeCell ref="I38:J38"/>
    <mergeCell ref="I39:J39"/>
    <mergeCell ref="I40:J40"/>
    <mergeCell ref="I41:J41"/>
    <mergeCell ref="I49:J49"/>
    <mergeCell ref="A52:J52"/>
    <mergeCell ref="I42:J42"/>
    <mergeCell ref="I43:J43"/>
    <mergeCell ref="I44:J44"/>
    <mergeCell ref="I45:J45"/>
    <mergeCell ref="I46:J46"/>
    <mergeCell ref="I47:J47"/>
    <mergeCell ref="I48:J48"/>
  </mergeCells>
  <printOptions/>
  <pageMargins bottom="0.75" footer="0.0" header="0.0" left="0.7" right="0.7" top="0.75"/>
  <pageSetup paperSize="9" orientation="landscape"/>
  <rowBreaks count="2" manualBreakCount="2">
    <brk man="1"/>
    <brk id="21" man="1"/>
  </rowBreaks>
  <colBreaks count="2" manualBreakCount="2">
    <brk man="1"/>
    <brk id="10"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7.0"/>
    <col customWidth="1" min="2" max="2" width="14.0"/>
    <col customWidth="1" min="3" max="3" width="46.0"/>
    <col customWidth="1" min="4" max="4" width="8.38"/>
    <col customWidth="1" min="5" max="5" width="10.75"/>
    <col customWidth="1" min="6" max="6" width="5.88"/>
    <col customWidth="1" min="7" max="7" width="10.63"/>
    <col customWidth="1" min="8" max="8" width="12.38"/>
    <col customWidth="1" min="9" max="9" width="12.5"/>
    <col customWidth="1" min="10" max="10" width="10.75"/>
    <col customWidth="1" min="11" max="11" width="58.13"/>
  </cols>
  <sheetData>
    <row r="1" ht="15.0" customHeight="1">
      <c r="A1" s="2" t="s">
        <v>1</v>
      </c>
      <c r="B1" s="4"/>
      <c r="C1" s="4"/>
      <c r="D1" s="4"/>
      <c r="E1" s="4"/>
      <c r="F1" s="4"/>
      <c r="G1" s="4"/>
      <c r="H1" s="4"/>
      <c r="I1" s="4"/>
      <c r="J1" s="4"/>
      <c r="K1" s="5"/>
    </row>
    <row r="2" ht="15.0" customHeight="1">
      <c r="A2" s="7"/>
      <c r="B2" s="9"/>
      <c r="C2" s="9"/>
      <c r="D2" s="9"/>
      <c r="E2" s="9"/>
      <c r="F2" s="9"/>
      <c r="G2" s="9"/>
      <c r="H2" s="9"/>
      <c r="I2" s="9"/>
      <c r="J2" s="9"/>
      <c r="K2" s="10"/>
    </row>
    <row r="3" ht="24.0" customHeight="1">
      <c r="A3" s="25" t="str">
        <f>"Detailed performance by article · " &amp; Ref!J2 &amp; " " &amp; Ref!K2</f>
        <v>Detailed performance by article · August 2026</v>
      </c>
      <c r="B3" s="8"/>
      <c r="C3" s="8"/>
      <c r="D3" s="8"/>
      <c r="E3" s="8"/>
      <c r="F3" s="8"/>
      <c r="G3" s="8"/>
      <c r="H3" s="8"/>
      <c r="I3" s="8"/>
      <c r="J3" s="8"/>
      <c r="K3" s="11"/>
    </row>
    <row r="4" ht="24.0" customHeight="1">
      <c r="A4" s="31" t="str">
        <f>"GA4 Pages and screens · Exact URL match against the August Publishing Log · Reporting period: 1-"&amp; DAY(EOMONTH(Ref!J2 &amp; " 1, " &amp; Ref!K2, 0)) &amp; " " &amp; Ref!J2 &amp; " " &amp; Ref!K2 &amp; ". · Match rate: " &amp; (COUNTA('03 Publishing Log'!C10:C190) &amp; " / " &amp; (COUNTA('03 Publishing Log'!C10:C190)) &amp; "")</f>
        <v>GA4 Pages and screens · Exact URL match against the August Publishing Log · Reporting period: 1-31 August 2026. · Match rate: 43 / 43</v>
      </c>
      <c r="B4" s="8"/>
      <c r="C4" s="8"/>
      <c r="D4" s="8"/>
      <c r="E4" s="8"/>
      <c r="F4" s="8"/>
      <c r="G4" s="8"/>
      <c r="H4" s="8"/>
      <c r="I4" s="8"/>
      <c r="J4" s="8"/>
      <c r="K4" s="11"/>
    </row>
    <row r="5">
      <c r="A5" s="16"/>
      <c r="B5" s="16"/>
      <c r="C5" s="16"/>
      <c r="D5" s="16"/>
      <c r="E5" s="16"/>
      <c r="F5" s="16"/>
      <c r="G5" s="16"/>
      <c r="H5" s="16"/>
      <c r="I5" s="16"/>
      <c r="J5" s="16"/>
      <c r="K5" s="16"/>
    </row>
    <row r="6" ht="30.0" customHeight="1">
      <c r="A6" s="35" t="s">
        <v>46</v>
      </c>
      <c r="B6" s="35" t="s">
        <v>49</v>
      </c>
      <c r="C6" s="35" t="s">
        <v>51</v>
      </c>
      <c r="D6" s="35" t="s">
        <v>50</v>
      </c>
      <c r="E6" s="35" t="s">
        <v>44</v>
      </c>
      <c r="F6" s="35" t="s">
        <v>18</v>
      </c>
      <c r="G6" s="35" t="s">
        <v>21</v>
      </c>
      <c r="H6" s="35" t="s">
        <v>24</v>
      </c>
      <c r="I6" s="35" t="s">
        <v>27</v>
      </c>
      <c r="J6" s="35" t="s">
        <v>55</v>
      </c>
      <c r="K6" s="35" t="s">
        <v>53</v>
      </c>
    </row>
    <row r="7" ht="33.75" customHeight="1">
      <c r="A7" s="44">
        <f t="array" ref="A7:A49">SEQUENCE(43,1)</f>
        <v>1</v>
      </c>
      <c r="B7" s="47">
        <v>46236.0</v>
      </c>
      <c r="C7" s="49" t="s">
        <v>80</v>
      </c>
      <c r="D7" s="44" t="s">
        <v>70</v>
      </c>
      <c r="E7" s="44" t="s">
        <v>82</v>
      </c>
      <c r="F7" s="50">
        <v>28.0</v>
      </c>
      <c r="G7" s="50">
        <v>15.0</v>
      </c>
      <c r="H7" s="51">
        <v>1.8666666666666667</v>
      </c>
      <c r="I7" s="52">
        <v>8.81172839506173E-4</v>
      </c>
      <c r="J7" s="44" t="s">
        <v>96</v>
      </c>
      <c r="K7" s="54" t="s">
        <v>85</v>
      </c>
    </row>
    <row r="8" ht="33.75" customHeight="1">
      <c r="A8" s="55">
        <v>2.0</v>
      </c>
      <c r="B8" s="56">
        <v>46238.0</v>
      </c>
      <c r="C8" s="58" t="s">
        <v>103</v>
      </c>
      <c r="D8" s="55" t="s">
        <v>70</v>
      </c>
      <c r="E8" s="55" t="s">
        <v>82</v>
      </c>
      <c r="F8" s="59">
        <v>35.0</v>
      </c>
      <c r="G8" s="59">
        <v>26.0</v>
      </c>
      <c r="H8" s="61">
        <v>1.3461538461538463</v>
      </c>
      <c r="I8" s="62">
        <v>4.763176638176638E-4</v>
      </c>
      <c r="J8" s="55" t="s">
        <v>96</v>
      </c>
      <c r="K8" s="63" t="s">
        <v>104</v>
      </c>
    </row>
    <row r="9" ht="33.75" customHeight="1">
      <c r="A9" s="55">
        <v>3.0</v>
      </c>
      <c r="B9" s="56">
        <v>46238.0</v>
      </c>
      <c r="C9" s="58" t="s">
        <v>105</v>
      </c>
      <c r="D9" s="55" t="s">
        <v>70</v>
      </c>
      <c r="E9" s="55" t="s">
        <v>82</v>
      </c>
      <c r="F9" s="59">
        <v>27.0</v>
      </c>
      <c r="G9" s="59">
        <v>23.0</v>
      </c>
      <c r="H9" s="61">
        <v>1.173913043478261</v>
      </c>
      <c r="I9" s="62">
        <v>8.554750402576489E-5</v>
      </c>
      <c r="J9" s="55" t="s">
        <v>96</v>
      </c>
      <c r="K9" s="63" t="s">
        <v>106</v>
      </c>
    </row>
    <row r="10">
      <c r="A10" s="55">
        <v>4.0</v>
      </c>
      <c r="B10" s="56">
        <v>46238.0</v>
      </c>
      <c r="C10" s="58" t="s">
        <v>107</v>
      </c>
      <c r="D10" s="55" t="s">
        <v>70</v>
      </c>
      <c r="E10" s="55" t="s">
        <v>95</v>
      </c>
      <c r="F10" s="59">
        <v>45.0</v>
      </c>
      <c r="G10" s="59">
        <v>24.0</v>
      </c>
      <c r="H10" s="61">
        <v>1.875</v>
      </c>
      <c r="I10" s="62">
        <v>0.0011048418209876542</v>
      </c>
      <c r="J10" s="55" t="s">
        <v>96</v>
      </c>
      <c r="K10" s="63" t="s">
        <v>108</v>
      </c>
    </row>
    <row r="11" ht="33.75" customHeight="1">
      <c r="A11" s="55">
        <v>5.0</v>
      </c>
      <c r="B11" s="56">
        <v>46238.0</v>
      </c>
      <c r="C11" s="58" t="s">
        <v>109</v>
      </c>
      <c r="D11" s="55" t="s">
        <v>70</v>
      </c>
      <c r="E11" s="55" t="s">
        <v>89</v>
      </c>
      <c r="F11" s="59">
        <v>54.0</v>
      </c>
      <c r="G11" s="59">
        <v>36.0</v>
      </c>
      <c r="H11" s="61">
        <v>1.5</v>
      </c>
      <c r="I11" s="62">
        <v>2.8131430041152265E-4</v>
      </c>
      <c r="J11" s="55" t="s">
        <v>96</v>
      </c>
      <c r="K11" s="63" t="s">
        <v>110</v>
      </c>
    </row>
    <row r="12" ht="33.75" customHeight="1">
      <c r="A12" s="55">
        <v>6.0</v>
      </c>
      <c r="B12" s="56">
        <v>46238.0</v>
      </c>
      <c r="C12" s="58" t="s">
        <v>111</v>
      </c>
      <c r="D12" s="55" t="s">
        <v>75</v>
      </c>
      <c r="E12" s="55" t="s">
        <v>97</v>
      </c>
      <c r="F12" s="59">
        <v>51.0</v>
      </c>
      <c r="G12" s="59">
        <v>22.0</v>
      </c>
      <c r="H12" s="61">
        <v>2.3181818181818183</v>
      </c>
      <c r="I12" s="62">
        <v>8.065025252525254E-4</v>
      </c>
      <c r="J12" s="55" t="s">
        <v>96</v>
      </c>
      <c r="K12" s="63" t="s">
        <v>112</v>
      </c>
    </row>
    <row r="13" ht="33.75" customHeight="1">
      <c r="A13" s="55">
        <v>7.0</v>
      </c>
      <c r="B13" s="56">
        <v>46240.0</v>
      </c>
      <c r="C13" s="58" t="s">
        <v>113</v>
      </c>
      <c r="D13" s="55" t="s">
        <v>70</v>
      </c>
      <c r="E13" s="55" t="s">
        <v>82</v>
      </c>
      <c r="F13" s="59">
        <v>25.0</v>
      </c>
      <c r="G13" s="59">
        <v>15.0</v>
      </c>
      <c r="H13" s="61">
        <v>1.6666666666666667</v>
      </c>
      <c r="I13" s="62">
        <v>3.572530864197531E-4</v>
      </c>
      <c r="J13" s="55" t="s">
        <v>96</v>
      </c>
      <c r="K13" s="63" t="s">
        <v>114</v>
      </c>
    </row>
    <row r="14" ht="33.75" customHeight="1">
      <c r="A14" s="55">
        <v>8.0</v>
      </c>
      <c r="B14" s="56">
        <v>46240.0</v>
      </c>
      <c r="C14" s="58" t="s">
        <v>121</v>
      </c>
      <c r="D14" s="55" t="s">
        <v>70</v>
      </c>
      <c r="E14" s="55" t="s">
        <v>79</v>
      </c>
      <c r="F14" s="59">
        <v>56.0</v>
      </c>
      <c r="G14" s="59">
        <v>24.0</v>
      </c>
      <c r="H14" s="61">
        <v>2.3333333333333335</v>
      </c>
      <c r="I14" s="62">
        <v>0.0015398341049382715</v>
      </c>
      <c r="J14" s="55" t="s">
        <v>96</v>
      </c>
      <c r="K14" s="63" t="s">
        <v>116</v>
      </c>
    </row>
    <row r="15" ht="33.75" customHeight="1">
      <c r="A15" s="55">
        <v>9.0</v>
      </c>
      <c r="B15" s="56">
        <v>46241.0</v>
      </c>
      <c r="C15" s="58" t="s">
        <v>124</v>
      </c>
      <c r="D15" s="55" t="s">
        <v>70</v>
      </c>
      <c r="E15" s="55" t="s">
        <v>89</v>
      </c>
      <c r="F15" s="59">
        <v>63.0</v>
      </c>
      <c r="G15" s="59">
        <v>18.0</v>
      </c>
      <c r="H15" s="61">
        <v>3.5</v>
      </c>
      <c r="I15" s="62">
        <v>6.487911522633745E-4</v>
      </c>
      <c r="J15" s="55" t="s">
        <v>96</v>
      </c>
      <c r="K15" s="63" t="s">
        <v>118</v>
      </c>
    </row>
    <row r="16" ht="33.75" customHeight="1">
      <c r="A16" s="55">
        <v>10.0</v>
      </c>
      <c r="B16" s="56">
        <v>46243.0</v>
      </c>
      <c r="C16" s="58" t="s">
        <v>119</v>
      </c>
      <c r="D16" s="55" t="s">
        <v>70</v>
      </c>
      <c r="E16" s="55" t="s">
        <v>82</v>
      </c>
      <c r="F16" s="59">
        <v>22.0</v>
      </c>
      <c r="G16" s="59">
        <v>13.0</v>
      </c>
      <c r="H16" s="61">
        <v>1.6923076923076923</v>
      </c>
      <c r="I16" s="62">
        <v>6.036324786324786E-4</v>
      </c>
      <c r="J16" s="55" t="s">
        <v>96</v>
      </c>
      <c r="K16" s="63" t="s">
        <v>120</v>
      </c>
    </row>
    <row r="17" ht="33.75" customHeight="1">
      <c r="A17" s="66">
        <v>11.0</v>
      </c>
      <c r="B17" s="67">
        <v>46243.0</v>
      </c>
      <c r="C17" s="68" t="s">
        <v>122</v>
      </c>
      <c r="D17" s="66" t="s">
        <v>70</v>
      </c>
      <c r="E17" s="66" t="s">
        <v>87</v>
      </c>
      <c r="F17" s="69">
        <v>74.0</v>
      </c>
      <c r="G17" s="69">
        <v>31.0</v>
      </c>
      <c r="H17" s="70">
        <v>2.3870967741935485</v>
      </c>
      <c r="I17" s="71">
        <v>0.0014150238948626047</v>
      </c>
      <c r="J17" s="66" t="s">
        <v>96</v>
      </c>
      <c r="K17" s="73" t="s">
        <v>123</v>
      </c>
    </row>
    <row r="18" ht="33.75" customHeight="1">
      <c r="A18" s="74">
        <v>12.0</v>
      </c>
      <c r="B18" s="75">
        <v>46245.0</v>
      </c>
      <c r="C18" s="76" t="s">
        <v>125</v>
      </c>
      <c r="D18" s="74" t="s">
        <v>75</v>
      </c>
      <c r="E18" s="74" t="s">
        <v>97</v>
      </c>
      <c r="F18" s="77">
        <v>76.0</v>
      </c>
      <c r="G18" s="77">
        <v>47.0</v>
      </c>
      <c r="H18" s="78">
        <v>1.6170212765957446</v>
      </c>
      <c r="I18" s="79">
        <v>7.409869976359338E-4</v>
      </c>
      <c r="J18" s="74" t="s">
        <v>96</v>
      </c>
      <c r="K18" s="80" t="s">
        <v>126</v>
      </c>
    </row>
    <row r="19" ht="33.75" customHeight="1">
      <c r="A19" s="44">
        <v>13.0</v>
      </c>
      <c r="B19" s="47">
        <v>46245.0</v>
      </c>
      <c r="C19" s="49" t="s">
        <v>127</v>
      </c>
      <c r="D19" s="44" t="s">
        <v>75</v>
      </c>
      <c r="E19" s="44" t="s">
        <v>87</v>
      </c>
      <c r="F19" s="50">
        <v>26.0</v>
      </c>
      <c r="G19" s="50">
        <v>14.0</v>
      </c>
      <c r="H19" s="51">
        <v>1.8571428571428572</v>
      </c>
      <c r="I19" s="52">
        <v>2.5297619047619046E-4</v>
      </c>
      <c r="J19" s="44" t="s">
        <v>96</v>
      </c>
      <c r="K19" s="54" t="s">
        <v>128</v>
      </c>
    </row>
    <row r="20" ht="33.75" customHeight="1">
      <c r="A20" s="55">
        <v>14.0</v>
      </c>
      <c r="B20" s="56">
        <v>46246.0</v>
      </c>
      <c r="C20" s="58" t="s">
        <v>129</v>
      </c>
      <c r="D20" s="55" t="s">
        <v>75</v>
      </c>
      <c r="E20" s="55" t="s">
        <v>67</v>
      </c>
      <c r="F20" s="59">
        <v>20.0</v>
      </c>
      <c r="G20" s="59">
        <v>8.0</v>
      </c>
      <c r="H20" s="61">
        <v>2.5</v>
      </c>
      <c r="I20" s="62">
        <v>0.0017737268518518519</v>
      </c>
      <c r="J20" s="55" t="s">
        <v>96</v>
      </c>
      <c r="K20" s="63" t="s">
        <v>130</v>
      </c>
    </row>
    <row r="21" ht="33.75" customHeight="1">
      <c r="A21" s="55">
        <v>15.0</v>
      </c>
      <c r="B21" s="56">
        <v>46246.0</v>
      </c>
      <c r="C21" s="58" t="s">
        <v>131</v>
      </c>
      <c r="D21" s="55" t="s">
        <v>75</v>
      </c>
      <c r="E21" s="55" t="s">
        <v>79</v>
      </c>
      <c r="F21" s="59">
        <v>21.0</v>
      </c>
      <c r="G21" s="59">
        <v>11.0</v>
      </c>
      <c r="H21" s="61">
        <v>1.9090909090909092</v>
      </c>
      <c r="I21" s="62">
        <v>5.481902356902357E-4</v>
      </c>
      <c r="J21" s="55" t="s">
        <v>96</v>
      </c>
      <c r="K21" s="63" t="s">
        <v>132</v>
      </c>
    </row>
    <row r="22" ht="33.75" customHeight="1">
      <c r="A22" s="55">
        <v>16.0</v>
      </c>
      <c r="B22" s="56">
        <v>46246.0</v>
      </c>
      <c r="C22" s="58" t="s">
        <v>133</v>
      </c>
      <c r="D22" s="55" t="s">
        <v>70</v>
      </c>
      <c r="E22" s="55" t="s">
        <v>79</v>
      </c>
      <c r="F22" s="59">
        <v>15.0</v>
      </c>
      <c r="G22" s="59">
        <v>10.0</v>
      </c>
      <c r="H22" s="61">
        <v>1.5</v>
      </c>
      <c r="I22" s="62">
        <v>4.5023148148148147E-4</v>
      </c>
      <c r="J22" s="55" t="s">
        <v>96</v>
      </c>
      <c r="K22" s="63" t="s">
        <v>134</v>
      </c>
    </row>
    <row r="23" ht="33.75" customHeight="1">
      <c r="A23" s="55">
        <v>17.0</v>
      </c>
      <c r="B23" s="56">
        <v>46249.0</v>
      </c>
      <c r="C23" s="58" t="s">
        <v>135</v>
      </c>
      <c r="D23" s="55" t="s">
        <v>63</v>
      </c>
      <c r="E23" s="55" t="s">
        <v>82</v>
      </c>
      <c r="F23" s="59">
        <v>32.0</v>
      </c>
      <c r="G23" s="59">
        <v>23.0</v>
      </c>
      <c r="H23" s="61">
        <v>1.391304347826087</v>
      </c>
      <c r="I23" s="62">
        <v>7.915660225442834E-4</v>
      </c>
      <c r="J23" s="55" t="s">
        <v>96</v>
      </c>
      <c r="K23" s="63" t="s">
        <v>136</v>
      </c>
    </row>
    <row r="24" ht="33.75" customHeight="1">
      <c r="A24" s="55">
        <v>18.0</v>
      </c>
      <c r="B24" s="56">
        <v>46249.0</v>
      </c>
      <c r="C24" s="58" t="s">
        <v>137</v>
      </c>
      <c r="D24" s="55" t="s">
        <v>70</v>
      </c>
      <c r="E24" s="55" t="s">
        <v>82</v>
      </c>
      <c r="F24" s="59">
        <v>32.0</v>
      </c>
      <c r="G24" s="59">
        <v>22.0</v>
      </c>
      <c r="H24" s="61">
        <v>1.4545454545454546</v>
      </c>
      <c r="I24" s="62">
        <v>4.845328282828283E-4</v>
      </c>
      <c r="J24" s="55" t="s">
        <v>96</v>
      </c>
      <c r="K24" s="63" t="s">
        <v>138</v>
      </c>
    </row>
    <row r="25" ht="33.75" customHeight="1">
      <c r="A25" s="55">
        <v>19.0</v>
      </c>
      <c r="B25" s="56">
        <v>46249.0</v>
      </c>
      <c r="C25" s="58" t="s">
        <v>142</v>
      </c>
      <c r="D25" s="55" t="s">
        <v>75</v>
      </c>
      <c r="E25" s="55" t="s">
        <v>59</v>
      </c>
      <c r="F25" s="59">
        <v>63.0</v>
      </c>
      <c r="G25" s="59">
        <v>33.0</v>
      </c>
      <c r="H25" s="61">
        <v>1.9090909090909092</v>
      </c>
      <c r="I25" s="62">
        <v>9.943181818181817E-4</v>
      </c>
      <c r="J25" s="55" t="s">
        <v>96</v>
      </c>
      <c r="K25" s="63" t="s">
        <v>143</v>
      </c>
    </row>
    <row r="26" ht="33.75" customHeight="1">
      <c r="A26" s="55">
        <v>20.0</v>
      </c>
      <c r="B26" s="56">
        <v>46250.0</v>
      </c>
      <c r="C26" s="58" t="s">
        <v>144</v>
      </c>
      <c r="D26" s="55" t="s">
        <v>75</v>
      </c>
      <c r="E26" s="55" t="s">
        <v>59</v>
      </c>
      <c r="F26" s="59">
        <v>24.0</v>
      </c>
      <c r="G26" s="59">
        <v>9.0</v>
      </c>
      <c r="H26" s="61">
        <v>2.6666666666666665</v>
      </c>
      <c r="I26" s="62">
        <v>5.29835390946502E-4</v>
      </c>
      <c r="J26" s="55" t="s">
        <v>96</v>
      </c>
      <c r="K26" s="63" t="s">
        <v>145</v>
      </c>
    </row>
    <row r="27" ht="33.75" customHeight="1">
      <c r="A27" s="55">
        <v>21.0</v>
      </c>
      <c r="B27" s="56">
        <v>46250.0</v>
      </c>
      <c r="C27" s="58" t="s">
        <v>146</v>
      </c>
      <c r="D27" s="55" t="s">
        <v>75</v>
      </c>
      <c r="E27" s="55" t="s">
        <v>89</v>
      </c>
      <c r="F27" s="59">
        <v>16.0</v>
      </c>
      <c r="G27" s="59">
        <v>8.0</v>
      </c>
      <c r="H27" s="61">
        <v>2.0</v>
      </c>
      <c r="I27" s="62">
        <v>0.0012644675925925926</v>
      </c>
      <c r="J27" s="55" t="s">
        <v>96</v>
      </c>
      <c r="K27" s="63" t="s">
        <v>147</v>
      </c>
    </row>
    <row r="28" ht="33.75" customHeight="1">
      <c r="A28" s="55">
        <v>22.0</v>
      </c>
      <c r="B28" s="56">
        <v>46251.0</v>
      </c>
      <c r="C28" s="58" t="s">
        <v>148</v>
      </c>
      <c r="D28" s="55" t="s">
        <v>75</v>
      </c>
      <c r="E28" s="55" t="s">
        <v>89</v>
      </c>
      <c r="F28" s="59">
        <v>22.0</v>
      </c>
      <c r="G28" s="59">
        <v>15.0</v>
      </c>
      <c r="H28" s="61">
        <v>1.4666666666666666</v>
      </c>
      <c r="I28" s="62">
        <v>7.79320987654321E-4</v>
      </c>
      <c r="J28" s="55" t="s">
        <v>96</v>
      </c>
      <c r="K28" s="63" t="s">
        <v>149</v>
      </c>
    </row>
    <row r="29" ht="33.75" customHeight="1">
      <c r="A29" s="55">
        <v>23.0</v>
      </c>
      <c r="B29" s="56">
        <v>46251.0</v>
      </c>
      <c r="C29" s="58" t="s">
        <v>181</v>
      </c>
      <c r="D29" s="55" t="s">
        <v>75</v>
      </c>
      <c r="E29" s="55" t="s">
        <v>67</v>
      </c>
      <c r="F29" s="59">
        <v>32.0</v>
      </c>
      <c r="G29" s="59">
        <v>20.0</v>
      </c>
      <c r="H29" s="61">
        <v>1.6</v>
      </c>
      <c r="I29" s="62">
        <v>3.8368055555555557E-4</v>
      </c>
      <c r="J29" s="55" t="s">
        <v>96</v>
      </c>
      <c r="K29" s="63" t="s">
        <v>151</v>
      </c>
    </row>
    <row r="30" ht="33.75" customHeight="1">
      <c r="A30" s="55">
        <v>24.0</v>
      </c>
      <c r="B30" s="56">
        <v>46251.0</v>
      </c>
      <c r="C30" s="58" t="s">
        <v>187</v>
      </c>
      <c r="D30" s="55" t="s">
        <v>75</v>
      </c>
      <c r="E30" s="55" t="s">
        <v>59</v>
      </c>
      <c r="F30" s="59">
        <v>77.0</v>
      </c>
      <c r="G30" s="59">
        <v>54.0</v>
      </c>
      <c r="H30" s="61">
        <v>1.4259259259259258</v>
      </c>
      <c r="I30" s="62">
        <v>3.9287551440329215E-4</v>
      </c>
      <c r="J30" s="55" t="s">
        <v>96</v>
      </c>
      <c r="K30" s="63" t="s">
        <v>153</v>
      </c>
    </row>
    <row r="31" ht="33.75" customHeight="1">
      <c r="A31" s="55">
        <v>25.0</v>
      </c>
      <c r="B31" s="56">
        <v>46252.0</v>
      </c>
      <c r="C31" s="58" t="s">
        <v>154</v>
      </c>
      <c r="D31" s="55" t="s">
        <v>75</v>
      </c>
      <c r="E31" s="55" t="s">
        <v>89</v>
      </c>
      <c r="F31" s="59">
        <v>20.0</v>
      </c>
      <c r="G31" s="59">
        <v>14.0</v>
      </c>
      <c r="H31" s="61">
        <v>1.4285714285714286</v>
      </c>
      <c r="I31" s="62">
        <v>3.835978835978836E-4</v>
      </c>
      <c r="J31" s="55" t="s">
        <v>96</v>
      </c>
      <c r="K31" s="63" t="s">
        <v>155</v>
      </c>
    </row>
    <row r="32" ht="33.75" customHeight="1">
      <c r="A32" s="55">
        <v>26.0</v>
      </c>
      <c r="B32" s="56">
        <v>46252.0</v>
      </c>
      <c r="C32" s="58" t="s">
        <v>157</v>
      </c>
      <c r="D32" s="55" t="s">
        <v>75</v>
      </c>
      <c r="E32" s="55" t="s">
        <v>89</v>
      </c>
      <c r="F32" s="59">
        <v>15.0</v>
      </c>
      <c r="G32" s="59">
        <v>9.0</v>
      </c>
      <c r="H32" s="61">
        <v>1.6666666666666667</v>
      </c>
      <c r="I32" s="62">
        <v>6.957304526748971E-4</v>
      </c>
      <c r="J32" s="55" t="s">
        <v>96</v>
      </c>
      <c r="K32" s="63" t="s">
        <v>158</v>
      </c>
    </row>
    <row r="33" ht="33.75" customHeight="1">
      <c r="A33" s="55">
        <v>27.0</v>
      </c>
      <c r="B33" s="56">
        <v>46252.0</v>
      </c>
      <c r="C33" s="58" t="s">
        <v>159</v>
      </c>
      <c r="D33" s="55" t="s">
        <v>63</v>
      </c>
      <c r="E33" s="55" t="s">
        <v>82</v>
      </c>
      <c r="F33" s="59">
        <v>31.0</v>
      </c>
      <c r="G33" s="59">
        <v>21.0</v>
      </c>
      <c r="H33" s="61">
        <v>1.4761904761904763</v>
      </c>
      <c r="I33" s="62">
        <v>0.0011166225749559082</v>
      </c>
      <c r="J33" s="55" t="s">
        <v>96</v>
      </c>
      <c r="K33" s="63" t="s">
        <v>160</v>
      </c>
    </row>
    <row r="34" ht="33.75" customHeight="1">
      <c r="A34" s="55">
        <v>28.0</v>
      </c>
      <c r="B34" s="56">
        <v>46254.0</v>
      </c>
      <c r="C34" s="58" t="s">
        <v>205</v>
      </c>
      <c r="D34" s="55" t="s">
        <v>70</v>
      </c>
      <c r="E34" s="55" t="s">
        <v>82</v>
      </c>
      <c r="F34" s="59">
        <v>40.0</v>
      </c>
      <c r="G34" s="59">
        <v>23.0</v>
      </c>
      <c r="H34" s="61">
        <v>1.7391304347826086</v>
      </c>
      <c r="I34" s="62">
        <v>9.541062801932368E-4</v>
      </c>
      <c r="J34" s="55" t="s">
        <v>96</v>
      </c>
      <c r="K34" s="63" t="s">
        <v>165</v>
      </c>
    </row>
    <row r="35" ht="33.75" customHeight="1">
      <c r="A35" s="55">
        <v>29.0</v>
      </c>
      <c r="B35" s="56">
        <v>46255.0</v>
      </c>
      <c r="C35" s="58" t="s">
        <v>167</v>
      </c>
      <c r="D35" s="55" t="s">
        <v>63</v>
      </c>
      <c r="E35" s="55" t="s">
        <v>82</v>
      </c>
      <c r="F35" s="59">
        <v>12.0</v>
      </c>
      <c r="G35" s="59">
        <v>6.0</v>
      </c>
      <c r="H35" s="61">
        <v>2.0</v>
      </c>
      <c r="I35" s="62">
        <v>4.1859567901234566E-4</v>
      </c>
      <c r="J35" s="55" t="s">
        <v>96</v>
      </c>
      <c r="K35" s="63" t="s">
        <v>168</v>
      </c>
    </row>
    <row r="36" ht="33.75" customHeight="1">
      <c r="A36" s="55">
        <v>30.0</v>
      </c>
      <c r="B36" s="56">
        <v>46255.0</v>
      </c>
      <c r="C36" s="58" t="s">
        <v>169</v>
      </c>
      <c r="D36" s="55" t="s">
        <v>70</v>
      </c>
      <c r="E36" s="55" t="s">
        <v>82</v>
      </c>
      <c r="F36" s="59">
        <v>16.0</v>
      </c>
      <c r="G36" s="59">
        <v>7.0</v>
      </c>
      <c r="H36" s="61">
        <v>2.2857142857142856</v>
      </c>
      <c r="I36" s="62">
        <v>7.85383597883598E-4</v>
      </c>
      <c r="J36" s="55" t="s">
        <v>96</v>
      </c>
      <c r="K36" s="63" t="s">
        <v>170</v>
      </c>
    </row>
    <row r="37" ht="33.75" customHeight="1">
      <c r="A37" s="55">
        <v>31.0</v>
      </c>
      <c r="B37" s="56">
        <v>46255.0</v>
      </c>
      <c r="C37" s="58" t="s">
        <v>172</v>
      </c>
      <c r="D37" s="55" t="s">
        <v>70</v>
      </c>
      <c r="E37" s="55" t="s">
        <v>82</v>
      </c>
      <c r="F37" s="59">
        <v>6.0</v>
      </c>
      <c r="G37" s="59">
        <v>4.0</v>
      </c>
      <c r="H37" s="61">
        <v>1.5</v>
      </c>
      <c r="I37" s="62">
        <v>7.233796296296296E-4</v>
      </c>
      <c r="J37" s="55" t="s">
        <v>96</v>
      </c>
      <c r="K37" s="63" t="s">
        <v>173</v>
      </c>
    </row>
    <row r="38" ht="33.75" customHeight="1">
      <c r="A38" s="55">
        <v>32.0</v>
      </c>
      <c r="B38" s="56">
        <v>46257.0</v>
      </c>
      <c r="C38" s="58" t="s">
        <v>174</v>
      </c>
      <c r="D38" s="55" t="s">
        <v>70</v>
      </c>
      <c r="E38" s="55" t="s">
        <v>82</v>
      </c>
      <c r="F38" s="59">
        <v>9.0</v>
      </c>
      <c r="G38" s="59">
        <v>7.0</v>
      </c>
      <c r="H38" s="61">
        <v>1.2857142857142858</v>
      </c>
      <c r="I38" s="62">
        <v>1.3392857142857144E-4</v>
      </c>
      <c r="J38" s="55" t="s">
        <v>96</v>
      </c>
      <c r="K38" s="63" t="s">
        <v>175</v>
      </c>
    </row>
    <row r="39" ht="33.75" customHeight="1">
      <c r="A39" s="55">
        <v>33.0</v>
      </c>
      <c r="B39" s="56">
        <v>46257.0</v>
      </c>
      <c r="C39" s="58" t="s">
        <v>211</v>
      </c>
      <c r="D39" s="55" t="s">
        <v>70</v>
      </c>
      <c r="E39" s="55" t="s">
        <v>82</v>
      </c>
      <c r="F39" s="59">
        <v>28.0</v>
      </c>
      <c r="G39" s="59">
        <v>15.0</v>
      </c>
      <c r="H39" s="61">
        <v>1.8666666666666667</v>
      </c>
      <c r="I39" s="62">
        <v>4.861111111111111E-4</v>
      </c>
      <c r="J39" s="55" t="s">
        <v>96</v>
      </c>
      <c r="K39" s="63" t="s">
        <v>178</v>
      </c>
    </row>
    <row r="40" ht="33.75" customHeight="1">
      <c r="A40" s="55">
        <v>34.0</v>
      </c>
      <c r="B40" s="56">
        <v>46257.0</v>
      </c>
      <c r="C40" s="58" t="s">
        <v>212</v>
      </c>
      <c r="D40" s="55" t="s">
        <v>70</v>
      </c>
      <c r="E40" s="55" t="s">
        <v>82</v>
      </c>
      <c r="F40" s="59">
        <v>13.0</v>
      </c>
      <c r="G40" s="59">
        <v>10.0</v>
      </c>
      <c r="H40" s="61">
        <v>1.3</v>
      </c>
      <c r="I40" s="62">
        <v>1.3078703703703703E-4</v>
      </c>
      <c r="J40" s="55" t="s">
        <v>96</v>
      </c>
      <c r="K40" s="63" t="s">
        <v>180</v>
      </c>
    </row>
    <row r="41" ht="33.75" customHeight="1">
      <c r="A41" s="55">
        <v>35.0</v>
      </c>
      <c r="B41" s="56">
        <v>46257.0</v>
      </c>
      <c r="C41" s="58" t="s">
        <v>182</v>
      </c>
      <c r="D41" s="55" t="s">
        <v>70</v>
      </c>
      <c r="E41" s="55" t="s">
        <v>82</v>
      </c>
      <c r="F41" s="59">
        <v>5.0</v>
      </c>
      <c r="G41" s="59">
        <v>4.0</v>
      </c>
      <c r="H41" s="61">
        <v>1.25</v>
      </c>
      <c r="I41" s="62">
        <v>8.680555555555556E-5</v>
      </c>
      <c r="J41" s="55" t="s">
        <v>96</v>
      </c>
      <c r="K41" s="63" t="s">
        <v>183</v>
      </c>
    </row>
    <row r="42" ht="33.75" customHeight="1">
      <c r="A42" s="55">
        <v>36.0</v>
      </c>
      <c r="B42" s="56">
        <v>46257.0</v>
      </c>
      <c r="C42" s="58" t="s">
        <v>185</v>
      </c>
      <c r="D42" s="55" t="s">
        <v>70</v>
      </c>
      <c r="E42" s="55" t="s">
        <v>82</v>
      </c>
      <c r="F42" s="59">
        <v>13.0</v>
      </c>
      <c r="G42" s="59">
        <v>11.0</v>
      </c>
      <c r="H42" s="61">
        <v>1.1818181818181819</v>
      </c>
      <c r="I42" s="62">
        <v>2.462121212121212E-4</v>
      </c>
      <c r="J42" s="55" t="s">
        <v>96</v>
      </c>
      <c r="K42" s="63" t="s">
        <v>186</v>
      </c>
    </row>
    <row r="43" ht="33.75" customHeight="1">
      <c r="A43" s="55">
        <v>37.0</v>
      </c>
      <c r="B43" s="56">
        <v>46257.0</v>
      </c>
      <c r="C43" s="58" t="s">
        <v>188</v>
      </c>
      <c r="D43" s="55" t="s">
        <v>70</v>
      </c>
      <c r="E43" s="55" t="s">
        <v>82</v>
      </c>
      <c r="F43" s="59">
        <v>24.0</v>
      </c>
      <c r="G43" s="59">
        <v>11.0</v>
      </c>
      <c r="H43" s="61">
        <v>2.1818181818181817</v>
      </c>
      <c r="I43" s="62">
        <v>5.871212121212121E-4</v>
      </c>
      <c r="J43" s="55" t="s">
        <v>96</v>
      </c>
      <c r="K43" s="63" t="s">
        <v>189</v>
      </c>
    </row>
    <row r="44" ht="33.75" customHeight="1">
      <c r="A44" s="55">
        <v>38.0</v>
      </c>
      <c r="B44" s="56">
        <v>46257.0</v>
      </c>
      <c r="C44" s="58" t="s">
        <v>191</v>
      </c>
      <c r="D44" s="55" t="s">
        <v>70</v>
      </c>
      <c r="E44" s="55" t="s">
        <v>87</v>
      </c>
      <c r="F44" s="59">
        <v>49.0</v>
      </c>
      <c r="G44" s="59">
        <v>26.0</v>
      </c>
      <c r="H44" s="61">
        <v>1.8846153846153846</v>
      </c>
      <c r="I44" s="62">
        <v>0.0015322293447293446</v>
      </c>
      <c r="J44" s="55" t="s">
        <v>96</v>
      </c>
      <c r="K44" s="63" t="s">
        <v>192</v>
      </c>
    </row>
    <row r="45" ht="33.75" customHeight="1">
      <c r="A45" s="55">
        <v>39.0</v>
      </c>
      <c r="B45" s="56">
        <v>46260.0</v>
      </c>
      <c r="C45" s="58" t="s">
        <v>214</v>
      </c>
      <c r="D45" s="55" t="s">
        <v>70</v>
      </c>
      <c r="E45" s="55" t="s">
        <v>82</v>
      </c>
      <c r="F45" s="59">
        <v>18.0</v>
      </c>
      <c r="G45" s="59">
        <v>11.0</v>
      </c>
      <c r="H45" s="61">
        <v>1.6363636363636365</v>
      </c>
      <c r="I45" s="62">
        <v>3.082912457912458E-4</v>
      </c>
      <c r="J45" s="55" t="s">
        <v>96</v>
      </c>
      <c r="K45" s="63" t="s">
        <v>195</v>
      </c>
    </row>
    <row r="46" ht="33.75" customHeight="1">
      <c r="A46" s="55">
        <v>40.0</v>
      </c>
      <c r="B46" s="56">
        <v>46260.0</v>
      </c>
      <c r="C46" s="58" t="s">
        <v>198</v>
      </c>
      <c r="D46" s="55" t="s">
        <v>70</v>
      </c>
      <c r="E46" s="55" t="s">
        <v>59</v>
      </c>
      <c r="F46" s="59">
        <v>10.0</v>
      </c>
      <c r="G46" s="59">
        <v>8.0</v>
      </c>
      <c r="H46" s="61">
        <v>1.25</v>
      </c>
      <c r="I46" s="62">
        <v>1.2297453703703702E-4</v>
      </c>
      <c r="J46" s="55" t="s">
        <v>96</v>
      </c>
      <c r="K46" s="63" t="s">
        <v>199</v>
      </c>
    </row>
    <row r="47" ht="33.75" customHeight="1">
      <c r="A47" s="55">
        <v>41.0</v>
      </c>
      <c r="B47" s="56">
        <v>46260.0</v>
      </c>
      <c r="C47" s="58" t="s">
        <v>215</v>
      </c>
      <c r="D47" s="55" t="s">
        <v>70</v>
      </c>
      <c r="E47" s="55" t="s">
        <v>97</v>
      </c>
      <c r="F47" s="59">
        <v>20.0</v>
      </c>
      <c r="G47" s="59">
        <v>11.0</v>
      </c>
      <c r="H47" s="61">
        <v>1.8181818181818181</v>
      </c>
      <c r="I47" s="62">
        <v>0.0013099747474747475</v>
      </c>
      <c r="J47" s="55" t="s">
        <v>96</v>
      </c>
      <c r="K47" s="63" t="s">
        <v>204</v>
      </c>
    </row>
    <row r="48" ht="33.75" customHeight="1">
      <c r="A48" s="55">
        <v>42.0</v>
      </c>
      <c r="B48" s="56">
        <v>46261.0</v>
      </c>
      <c r="C48" s="58" t="s">
        <v>206</v>
      </c>
      <c r="D48" s="55" t="s">
        <v>70</v>
      </c>
      <c r="E48" s="55" t="s">
        <v>82</v>
      </c>
      <c r="F48" s="59">
        <v>37.0</v>
      </c>
      <c r="G48" s="59">
        <v>30.0</v>
      </c>
      <c r="H48" s="61">
        <v>1.2333333333333334</v>
      </c>
      <c r="I48" s="62">
        <v>3.7422839506172844E-4</v>
      </c>
      <c r="J48" s="55" t="s">
        <v>96</v>
      </c>
      <c r="K48" s="63" t="s">
        <v>207</v>
      </c>
    </row>
    <row r="49" ht="33.75" customHeight="1">
      <c r="A49" s="55">
        <v>43.0</v>
      </c>
      <c r="B49" s="56">
        <v>46265.0</v>
      </c>
      <c r="C49" s="58" t="s">
        <v>208</v>
      </c>
      <c r="D49" s="55" t="s">
        <v>70</v>
      </c>
      <c r="E49" s="55" t="s">
        <v>82</v>
      </c>
      <c r="F49" s="59">
        <v>4.0</v>
      </c>
      <c r="G49" s="59">
        <v>3.0</v>
      </c>
      <c r="H49" s="61">
        <v>1.3333333333333333</v>
      </c>
      <c r="I49" s="62">
        <v>6.018518518518519E-4</v>
      </c>
      <c r="J49" s="55" t="s">
        <v>96</v>
      </c>
      <c r="K49" s="63" t="s">
        <v>209</v>
      </c>
    </row>
    <row r="50" ht="15.75" customHeight="1">
      <c r="A50" s="12"/>
      <c r="B50" s="12"/>
      <c r="C50" s="12"/>
      <c r="D50" s="12"/>
      <c r="E50" s="12"/>
      <c r="F50" s="12"/>
      <c r="G50" s="12"/>
      <c r="H50" s="12"/>
      <c r="I50" s="12"/>
      <c r="J50" s="12"/>
      <c r="K50" s="12"/>
    </row>
    <row r="51" ht="15.75" customHeight="1">
      <c r="A51" s="12"/>
      <c r="B51" s="12"/>
      <c r="C51" s="12"/>
      <c r="D51" s="12"/>
      <c r="E51" s="12"/>
      <c r="F51" s="12"/>
      <c r="G51" s="12"/>
      <c r="H51" s="12"/>
      <c r="I51" s="12"/>
      <c r="J51" s="12"/>
      <c r="K51" s="12"/>
    </row>
    <row r="52" ht="15.75" customHeight="1">
      <c r="A52" s="82" t="s">
        <v>216</v>
      </c>
      <c r="B52" s="8"/>
      <c r="C52" s="8"/>
      <c r="D52" s="8"/>
      <c r="E52" s="8"/>
      <c r="F52" s="8"/>
      <c r="G52" s="8"/>
      <c r="H52" s="8"/>
      <c r="I52" s="8"/>
      <c r="J52" s="8"/>
      <c r="K52" s="11"/>
    </row>
    <row r="53" ht="15.75" customHeight="1">
      <c r="A53" s="125" t="s">
        <v>217</v>
      </c>
      <c r="B53" s="11"/>
      <c r="C53" s="126" t="str">
        <f t="array" ref="C53">_xlfn.XLOOKUP(MAX(F7:F49), F7:F49, C7:C49)</f>
        <v>Horison IJ Menjadi Tempat Tinggal Timnas Putri U-16 Yordania di Kudus</v>
      </c>
      <c r="D53" s="8"/>
      <c r="E53" s="127">
        <f>MAX(F7:F49)</f>
        <v>77</v>
      </c>
      <c r="F53" s="11"/>
      <c r="G53" s="128"/>
      <c r="H53" s="128"/>
      <c r="I53" s="129"/>
      <c r="J53" s="130"/>
      <c r="K53" s="11"/>
    </row>
    <row r="54" ht="15.75" customHeight="1">
      <c r="A54" s="125" t="s">
        <v>218</v>
      </c>
      <c r="B54" s="11"/>
      <c r="C54" s="126" t="str">
        <f t="array" ref="C54">_xlfn.XLOOKUP(MAX(G7:G49), G7:G49, C7:C49)</f>
        <v>Horison IJ Menjadi Tempat Tinggal Timnas Putri U-16 Yordania di Kudus</v>
      </c>
      <c r="D54" s="8"/>
      <c r="E54" s="127">
        <f>MAX(G7:G49)</f>
        <v>54</v>
      </c>
      <c r="F54" s="11"/>
      <c r="G54" s="128"/>
      <c r="H54" s="128"/>
      <c r="I54" s="129"/>
      <c r="J54" s="130"/>
      <c r="K54" s="11"/>
    </row>
    <row r="55" ht="15.75" customHeight="1">
      <c r="A55" s="125" t="s">
        <v>219</v>
      </c>
      <c r="B55" s="11"/>
      <c r="C55" s="126" t="str">
        <f t="array" ref="C55">_xlfn.XLOOKUP(MAX(I7:I49), I7:I49, C7:C49)</f>
        <v>GOR Djarum Tempat Atlet Masa Depan Bulu Tangkis Ditempa</v>
      </c>
      <c r="D55" s="8"/>
      <c r="E55" s="131">
        <f>MAX(I7:I49)</f>
        <v>0.001773726852</v>
      </c>
      <c r="F55" s="11"/>
      <c r="G55" s="128"/>
      <c r="H55" s="128"/>
      <c r="I55" s="129"/>
      <c r="J55" s="132"/>
      <c r="K55" s="11"/>
    </row>
    <row r="56" ht="15.75" customHeight="1">
      <c r="A56" s="125" t="s">
        <v>15</v>
      </c>
      <c r="B56" s="11"/>
      <c r="C56" s="126"/>
      <c r="D56" s="8"/>
      <c r="E56" s="127">
        <f>SUM(F7:F49)</f>
        <v>1306</v>
      </c>
      <c r="F56" s="11"/>
      <c r="G56" s="128"/>
      <c r="H56" s="128"/>
      <c r="I56" s="129"/>
      <c r="J56" s="130"/>
      <c r="K56" s="11"/>
    </row>
    <row r="57" ht="15.75" customHeight="1">
      <c r="A57" s="133"/>
      <c r="B57" s="133"/>
      <c r="C57" s="133"/>
      <c r="D57" s="133"/>
      <c r="E57" s="133"/>
      <c r="F57" s="133"/>
      <c r="G57" s="133"/>
      <c r="H57" s="133"/>
      <c r="I57" s="133"/>
      <c r="J57" s="133"/>
      <c r="K57" s="133"/>
    </row>
    <row r="58" ht="15.75" customHeight="1">
      <c r="A58" s="37"/>
      <c r="B58" s="37"/>
      <c r="C58" s="37"/>
      <c r="D58" s="37"/>
      <c r="E58" s="37"/>
      <c r="F58" s="37"/>
      <c r="G58" s="37"/>
      <c r="H58" s="37"/>
      <c r="I58" s="37"/>
      <c r="J58" s="37"/>
      <c r="K58" s="37"/>
    </row>
    <row r="75" ht="15.75" customHeight="1"/>
    <row r="76" ht="15.75" customHeight="1"/>
    <row r="77" ht="15.75" customHeight="1">
      <c r="A77" s="37"/>
      <c r="B77" s="37"/>
      <c r="C77" s="37"/>
      <c r="D77" s="37"/>
      <c r="E77" s="37"/>
      <c r="F77" s="37"/>
      <c r="G77" s="37"/>
      <c r="H77" s="37"/>
      <c r="I77" s="37"/>
      <c r="J77" s="37"/>
      <c r="K77" s="37"/>
    </row>
    <row r="78" ht="15.75" customHeight="1">
      <c r="A78" s="37"/>
      <c r="B78" s="37"/>
      <c r="C78" s="37"/>
      <c r="D78" s="37"/>
      <c r="E78" s="37"/>
      <c r="F78" s="37"/>
      <c r="G78" s="37"/>
      <c r="H78" s="37"/>
      <c r="I78" s="37"/>
      <c r="J78" s="37"/>
      <c r="K78" s="37"/>
    </row>
    <row r="79" ht="15.75" customHeight="1">
      <c r="A79" s="37"/>
      <c r="B79" s="37"/>
      <c r="C79" s="37"/>
      <c r="D79" s="37"/>
      <c r="E79" s="37"/>
      <c r="F79" s="37"/>
      <c r="G79" s="37"/>
      <c r="H79" s="37"/>
      <c r="I79" s="37"/>
      <c r="J79" s="37"/>
      <c r="K79" s="37"/>
    </row>
    <row r="80" ht="15.75" customHeight="1">
      <c r="A80" s="37"/>
      <c r="B80" s="37"/>
      <c r="C80" s="37"/>
      <c r="D80" s="37"/>
      <c r="E80" s="37"/>
      <c r="F80" s="37"/>
      <c r="G80" s="37"/>
      <c r="H80" s="37"/>
      <c r="I80" s="37"/>
      <c r="J80" s="37"/>
      <c r="K80" s="37"/>
    </row>
    <row r="81" ht="15.75" customHeight="1">
      <c r="A81" s="37"/>
      <c r="B81" s="37"/>
      <c r="C81" s="37"/>
      <c r="D81" s="37"/>
      <c r="E81" s="37"/>
      <c r="F81" s="37"/>
      <c r="G81" s="37"/>
      <c r="H81" s="37"/>
      <c r="I81" s="37"/>
      <c r="J81" s="37"/>
      <c r="K81" s="37"/>
    </row>
    <row r="82" ht="15.75" customHeight="1">
      <c r="A82" s="37"/>
      <c r="B82" s="37"/>
      <c r="C82" s="37"/>
      <c r="D82" s="37"/>
      <c r="E82" s="37"/>
      <c r="F82" s="37"/>
      <c r="G82" s="37"/>
      <c r="H82" s="37"/>
      <c r="I82" s="37"/>
      <c r="J82" s="37"/>
      <c r="K82" s="37"/>
    </row>
    <row r="83" ht="15.75" customHeight="1">
      <c r="A83" s="37"/>
      <c r="B83" s="37"/>
      <c r="C83" s="37"/>
      <c r="D83" s="37"/>
      <c r="E83" s="37"/>
      <c r="F83" s="37"/>
      <c r="G83" s="37"/>
      <c r="H83" s="37"/>
      <c r="I83" s="37"/>
      <c r="J83" s="37"/>
      <c r="K83" s="37"/>
    </row>
    <row r="84" ht="15.75" customHeight="1">
      <c r="A84" s="37"/>
      <c r="B84" s="37"/>
      <c r="C84" s="37"/>
      <c r="D84" s="37"/>
      <c r="E84" s="37"/>
      <c r="F84" s="37"/>
      <c r="G84" s="37"/>
      <c r="H84" s="37"/>
      <c r="I84" s="37"/>
      <c r="J84" s="37"/>
      <c r="K84" s="37"/>
    </row>
    <row r="85" ht="15.75" customHeight="1">
      <c r="A85" s="37"/>
      <c r="B85" s="37"/>
      <c r="C85" s="37"/>
      <c r="D85" s="37"/>
      <c r="E85" s="37"/>
      <c r="F85" s="37"/>
      <c r="G85" s="37"/>
      <c r="H85" s="37"/>
      <c r="I85" s="37"/>
      <c r="J85" s="37"/>
      <c r="K85" s="37"/>
    </row>
    <row r="86" ht="15.75" customHeight="1">
      <c r="A86" s="37"/>
      <c r="B86" s="37"/>
      <c r="C86" s="37"/>
      <c r="D86" s="37"/>
      <c r="E86" s="37"/>
      <c r="F86" s="37"/>
      <c r="G86" s="37"/>
      <c r="H86" s="37"/>
      <c r="I86" s="37"/>
      <c r="J86" s="37"/>
      <c r="K86" s="37"/>
    </row>
    <row r="87" ht="15.75" customHeight="1">
      <c r="A87" s="37"/>
      <c r="B87" s="37"/>
      <c r="C87" s="37"/>
      <c r="D87" s="37"/>
      <c r="E87" s="37"/>
      <c r="F87" s="37"/>
      <c r="G87" s="37"/>
      <c r="H87" s="37"/>
      <c r="I87" s="37"/>
      <c r="J87" s="37"/>
      <c r="K87" s="37"/>
    </row>
    <row r="88" ht="15.75" customHeight="1">
      <c r="A88" s="37"/>
      <c r="B88" s="37"/>
      <c r="C88" s="37"/>
      <c r="D88" s="37"/>
      <c r="E88" s="37"/>
      <c r="F88" s="37"/>
      <c r="G88" s="37"/>
      <c r="H88" s="37"/>
      <c r="I88" s="37"/>
      <c r="J88" s="37"/>
      <c r="K88" s="37"/>
    </row>
    <row r="89" ht="15.75" customHeight="1">
      <c r="A89" s="37"/>
      <c r="B89" s="37"/>
      <c r="C89" s="37"/>
      <c r="D89" s="37"/>
      <c r="E89" s="37"/>
      <c r="F89" s="37"/>
      <c r="G89" s="37"/>
      <c r="H89" s="37"/>
      <c r="I89" s="37"/>
      <c r="J89" s="37"/>
      <c r="K89" s="37"/>
    </row>
    <row r="90" ht="15.75" customHeight="1">
      <c r="A90" s="37"/>
      <c r="B90" s="37"/>
      <c r="C90" s="37"/>
      <c r="D90" s="37"/>
      <c r="E90" s="37"/>
      <c r="F90" s="37"/>
      <c r="G90" s="37"/>
      <c r="H90" s="37"/>
      <c r="I90" s="37"/>
      <c r="J90" s="37"/>
      <c r="K90" s="37"/>
    </row>
    <row r="91" ht="15.75" customHeight="1">
      <c r="A91" s="37"/>
      <c r="B91" s="37"/>
      <c r="C91" s="37"/>
      <c r="D91" s="37"/>
      <c r="E91" s="37"/>
      <c r="F91" s="37"/>
      <c r="G91" s="37"/>
      <c r="H91" s="37"/>
      <c r="I91" s="37"/>
      <c r="J91" s="37"/>
      <c r="K91" s="37"/>
    </row>
    <row r="92" ht="15.75" customHeight="1">
      <c r="A92" s="37"/>
      <c r="B92" s="37"/>
      <c r="C92" s="37"/>
      <c r="D92" s="37"/>
      <c r="E92" s="37"/>
      <c r="F92" s="37"/>
      <c r="G92" s="37"/>
      <c r="H92" s="37"/>
      <c r="I92" s="37"/>
      <c r="J92" s="37"/>
      <c r="K92" s="37"/>
    </row>
    <row r="93" ht="15.75" customHeight="1">
      <c r="A93" s="37"/>
      <c r="B93" s="37"/>
      <c r="C93" s="37"/>
      <c r="D93" s="37"/>
      <c r="E93" s="37"/>
      <c r="F93" s="37"/>
      <c r="G93" s="37"/>
      <c r="H93" s="37"/>
      <c r="I93" s="37"/>
      <c r="J93" s="37"/>
      <c r="K93" s="37"/>
    </row>
    <row r="94" ht="15.75" customHeight="1">
      <c r="A94" s="37"/>
      <c r="B94" s="37"/>
      <c r="C94" s="37"/>
      <c r="D94" s="37"/>
      <c r="E94" s="37"/>
      <c r="F94" s="37"/>
      <c r="G94" s="37"/>
      <c r="H94" s="37"/>
      <c r="I94" s="37"/>
      <c r="J94" s="37"/>
      <c r="K94" s="37"/>
    </row>
    <row r="95" ht="15.75" customHeight="1">
      <c r="A95" s="37"/>
      <c r="B95" s="37"/>
      <c r="C95" s="37"/>
      <c r="D95" s="37"/>
      <c r="E95" s="37"/>
      <c r="F95" s="37"/>
      <c r="G95" s="37"/>
      <c r="H95" s="37"/>
      <c r="I95" s="37"/>
      <c r="J95" s="37"/>
      <c r="K95" s="37"/>
    </row>
    <row r="96" ht="15.75" customHeight="1">
      <c r="A96" s="37"/>
      <c r="B96" s="37"/>
      <c r="C96" s="37"/>
      <c r="D96" s="37"/>
      <c r="E96" s="37"/>
      <c r="F96" s="37"/>
      <c r="G96" s="37"/>
      <c r="H96" s="37"/>
      <c r="I96" s="37"/>
      <c r="J96" s="37"/>
      <c r="K96" s="37"/>
    </row>
    <row r="97" ht="15.75" customHeight="1">
      <c r="A97" s="37"/>
      <c r="B97" s="37"/>
      <c r="C97" s="37"/>
      <c r="D97" s="37"/>
      <c r="E97" s="37"/>
      <c r="F97" s="37"/>
      <c r="G97" s="37"/>
      <c r="H97" s="37"/>
      <c r="I97" s="37"/>
      <c r="J97" s="37"/>
      <c r="K97" s="37"/>
    </row>
    <row r="98" ht="15.75" customHeight="1">
      <c r="A98" s="37"/>
      <c r="B98" s="37"/>
      <c r="C98" s="37"/>
      <c r="D98" s="37"/>
      <c r="E98" s="37"/>
      <c r="F98" s="37"/>
      <c r="G98" s="37"/>
      <c r="H98" s="37"/>
      <c r="I98" s="37"/>
      <c r="J98" s="37"/>
      <c r="K98" s="37"/>
    </row>
    <row r="99" ht="15.75" customHeight="1">
      <c r="A99" s="37"/>
      <c r="B99" s="37"/>
      <c r="C99" s="37"/>
      <c r="D99" s="37"/>
      <c r="E99" s="37"/>
      <c r="F99" s="37"/>
      <c r="G99" s="37"/>
      <c r="H99" s="37"/>
      <c r="I99" s="37"/>
      <c r="J99" s="37"/>
      <c r="K99" s="37"/>
    </row>
    <row r="100" ht="15.75" customHeight="1">
      <c r="A100" s="37"/>
      <c r="B100" s="37"/>
      <c r="C100" s="37"/>
      <c r="D100" s="37"/>
      <c r="E100" s="37"/>
      <c r="F100" s="37"/>
      <c r="G100" s="37"/>
      <c r="H100" s="37"/>
      <c r="I100" s="37"/>
      <c r="J100" s="37"/>
      <c r="K100" s="37"/>
    </row>
    <row r="101" ht="15.75" customHeight="1">
      <c r="A101" s="37"/>
      <c r="B101" s="37"/>
      <c r="C101" s="37"/>
      <c r="D101" s="37"/>
      <c r="E101" s="37"/>
      <c r="F101" s="37"/>
      <c r="G101" s="37"/>
      <c r="H101" s="37"/>
      <c r="I101" s="37"/>
      <c r="J101" s="37"/>
      <c r="K101" s="37"/>
    </row>
    <row r="102" ht="15.75" customHeight="1">
      <c r="A102" s="37"/>
      <c r="B102" s="37"/>
      <c r="C102" s="37"/>
      <c r="D102" s="37"/>
      <c r="E102" s="37"/>
      <c r="F102" s="37"/>
      <c r="G102" s="37"/>
      <c r="H102" s="37"/>
      <c r="I102" s="37"/>
      <c r="J102" s="37"/>
      <c r="K102" s="37"/>
    </row>
    <row r="103" ht="15.75" customHeight="1">
      <c r="A103" s="37"/>
      <c r="B103" s="37"/>
      <c r="C103" s="37"/>
      <c r="D103" s="37"/>
      <c r="E103" s="37"/>
      <c r="F103" s="37"/>
      <c r="G103" s="37"/>
      <c r="H103" s="37"/>
      <c r="I103" s="37"/>
      <c r="J103" s="37"/>
      <c r="K103" s="37"/>
    </row>
    <row r="104" ht="15.75" customHeight="1">
      <c r="A104" s="37"/>
      <c r="B104" s="37"/>
      <c r="C104" s="37"/>
      <c r="D104" s="37"/>
      <c r="E104" s="37"/>
      <c r="F104" s="37"/>
      <c r="G104" s="37"/>
      <c r="H104" s="37"/>
      <c r="I104" s="37"/>
      <c r="J104" s="37"/>
      <c r="K104" s="37"/>
    </row>
    <row r="105" ht="15.75" customHeight="1">
      <c r="A105" s="37"/>
      <c r="B105" s="37"/>
      <c r="C105" s="37"/>
      <c r="D105" s="37"/>
      <c r="E105" s="37"/>
      <c r="F105" s="37"/>
      <c r="G105" s="37"/>
      <c r="H105" s="37"/>
      <c r="I105" s="37"/>
      <c r="J105" s="37"/>
      <c r="K105" s="37"/>
    </row>
    <row r="106" ht="15.75" customHeight="1">
      <c r="A106" s="37"/>
      <c r="B106" s="37"/>
      <c r="C106" s="37"/>
      <c r="D106" s="37"/>
      <c r="E106" s="37"/>
      <c r="F106" s="37"/>
      <c r="G106" s="37"/>
      <c r="H106" s="37"/>
      <c r="I106" s="37"/>
      <c r="J106" s="37"/>
      <c r="K106" s="37"/>
    </row>
    <row r="107" ht="15.75" customHeight="1">
      <c r="A107" s="37"/>
      <c r="B107" s="37"/>
      <c r="C107" s="37"/>
      <c r="D107" s="37"/>
      <c r="E107" s="37"/>
      <c r="F107" s="37"/>
      <c r="G107" s="37"/>
      <c r="H107" s="37"/>
      <c r="I107" s="37"/>
      <c r="J107" s="37"/>
      <c r="K107" s="37"/>
    </row>
    <row r="108" ht="15.75" customHeight="1">
      <c r="A108" s="37"/>
      <c r="B108" s="37"/>
      <c r="C108" s="37"/>
      <c r="D108" s="37"/>
      <c r="E108" s="37"/>
      <c r="F108" s="37"/>
      <c r="G108" s="37"/>
      <c r="H108" s="37"/>
      <c r="I108" s="37"/>
      <c r="J108" s="37"/>
      <c r="K108" s="37"/>
    </row>
    <row r="109" ht="15.75" customHeight="1">
      <c r="A109" s="37"/>
      <c r="B109" s="37"/>
      <c r="C109" s="37"/>
      <c r="D109" s="37"/>
      <c r="E109" s="37"/>
      <c r="F109" s="37"/>
      <c r="G109" s="37"/>
      <c r="H109" s="37"/>
      <c r="I109" s="37"/>
      <c r="J109" s="37"/>
      <c r="K109" s="37"/>
    </row>
    <row r="110" ht="15.75" customHeight="1">
      <c r="A110" s="37"/>
      <c r="B110" s="37"/>
      <c r="C110" s="37"/>
      <c r="D110" s="37"/>
      <c r="E110" s="37"/>
      <c r="F110" s="37"/>
      <c r="G110" s="37"/>
      <c r="H110" s="37"/>
      <c r="I110" s="37"/>
      <c r="J110" s="37"/>
      <c r="K110" s="37"/>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mergeCells count="20">
    <mergeCell ref="A1:K2"/>
    <mergeCell ref="A3:K3"/>
    <mergeCell ref="A4:K4"/>
    <mergeCell ref="A52:K52"/>
    <mergeCell ref="C53:D53"/>
    <mergeCell ref="E53:F53"/>
    <mergeCell ref="J53:K53"/>
    <mergeCell ref="J54:K54"/>
    <mergeCell ref="J55:K55"/>
    <mergeCell ref="J56:K56"/>
    <mergeCell ref="A56:B56"/>
    <mergeCell ref="C56:D56"/>
    <mergeCell ref="E56:F56"/>
    <mergeCell ref="A53:B53"/>
    <mergeCell ref="A54:B54"/>
    <mergeCell ref="C54:D54"/>
    <mergeCell ref="E54:F54"/>
    <mergeCell ref="A55:B55"/>
    <mergeCell ref="C55:D55"/>
    <mergeCell ref="E55:F55"/>
  </mergeCells>
  <hyperlinks>
    <hyperlink r:id="rId1" ref="K7"/>
    <hyperlink r:id="rId2" ref="K8"/>
    <hyperlink r:id="rId3" ref="K9"/>
    <hyperlink r:id="rId4" ref="K10"/>
    <hyperlink r:id="rId5" ref="K11"/>
    <hyperlink r:id="rId6" ref="K12"/>
    <hyperlink r:id="rId7" ref="K13"/>
    <hyperlink r:id="rId8" ref="K14"/>
    <hyperlink r:id="rId9" ref="K15"/>
    <hyperlink r:id="rId10" ref="K16"/>
    <hyperlink r:id="rId11" ref="K17"/>
    <hyperlink r:id="rId12" ref="K18"/>
    <hyperlink r:id="rId13" ref="K19"/>
    <hyperlink r:id="rId14" ref="K20"/>
    <hyperlink r:id="rId15" ref="K21"/>
    <hyperlink r:id="rId16" ref="K22"/>
    <hyperlink r:id="rId17" ref="K23"/>
    <hyperlink r:id="rId18" ref="K24"/>
    <hyperlink r:id="rId19" ref="K25"/>
    <hyperlink r:id="rId20" ref="K26"/>
    <hyperlink r:id="rId21" ref="K27"/>
    <hyperlink r:id="rId22" ref="K28"/>
    <hyperlink r:id="rId23" ref="K29"/>
    <hyperlink r:id="rId24" ref="K30"/>
    <hyperlink r:id="rId25" ref="K31"/>
    <hyperlink r:id="rId26" ref="K32"/>
    <hyperlink r:id="rId27" ref="K33"/>
    <hyperlink r:id="rId28" ref="K34"/>
    <hyperlink r:id="rId29" ref="K35"/>
    <hyperlink r:id="rId30" ref="K36"/>
    <hyperlink r:id="rId31" ref="K37"/>
    <hyperlink r:id="rId32" ref="K38"/>
    <hyperlink r:id="rId33" ref="K39"/>
    <hyperlink r:id="rId34" ref="K40"/>
    <hyperlink r:id="rId35" ref="K41"/>
    <hyperlink r:id="rId36" ref="K42"/>
    <hyperlink r:id="rId37" ref="K43"/>
    <hyperlink r:id="rId38" ref="K44"/>
    <hyperlink r:id="rId39" ref="K45"/>
    <hyperlink r:id="rId40" ref="K46"/>
    <hyperlink r:id="rId41" ref="K47"/>
    <hyperlink r:id="rId42" ref="K48"/>
    <hyperlink r:id="rId43" ref="K49"/>
  </hyperlinks>
  <printOptions/>
  <pageMargins bottom="0.75" footer="0.0" header="0.0" left="0.7" right="0.7" top="0.75"/>
  <pageSetup fitToHeight="0" paperSize="9" orientation="landscape"/>
  <drawing r:id="rId4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6.38"/>
    <col customWidth="1" min="2" max="2" width="11.38"/>
    <col customWidth="1" min="3" max="4" width="41.38"/>
    <col customWidth="1" min="5" max="5" width="18.88"/>
    <col customWidth="1" min="6" max="6" width="13.88"/>
    <col customWidth="1" min="7" max="7" width="12.63"/>
    <col customWidth="1" min="8" max="9" width="10.13"/>
  </cols>
  <sheetData>
    <row r="1" ht="15.0" customHeight="1">
      <c r="A1" s="1" t="s">
        <v>0</v>
      </c>
    </row>
    <row r="2" ht="15.0" customHeight="1"/>
    <row r="3" ht="24.0" customHeight="1">
      <c r="A3" s="6" t="s">
        <v>3</v>
      </c>
      <c r="B3" s="8"/>
      <c r="C3" s="8"/>
      <c r="D3" s="8"/>
      <c r="E3" s="8"/>
      <c r="F3" s="8"/>
      <c r="G3" s="8"/>
      <c r="H3" s="8"/>
      <c r="I3" s="11"/>
    </row>
    <row r="4">
      <c r="A4" s="12"/>
      <c r="B4" s="14"/>
      <c r="C4" s="12"/>
      <c r="D4" s="12"/>
      <c r="E4" s="14"/>
      <c r="F4" s="17"/>
      <c r="G4" s="17"/>
      <c r="H4" s="17"/>
      <c r="I4" s="17"/>
    </row>
    <row r="5">
      <c r="A5" s="20" t="s">
        <v>5</v>
      </c>
      <c r="B5" s="11"/>
      <c r="C5" s="20" t="s">
        <v>9</v>
      </c>
      <c r="D5" s="11"/>
      <c r="E5" s="20" t="s">
        <v>10</v>
      </c>
      <c r="F5" s="11"/>
      <c r="G5" s="20" t="s">
        <v>13</v>
      </c>
      <c r="H5" s="8"/>
      <c r="I5" s="11"/>
    </row>
    <row r="6">
      <c r="A6" s="26">
        <f>COUNTA(C10:C190)</f>
        <v>43</v>
      </c>
      <c r="B6" s="5"/>
      <c r="C6" s="26">
        <f>Ref!$I$3</f>
        <v>60</v>
      </c>
      <c r="D6" s="5"/>
      <c r="E6" s="29">
        <f>A6/C6</f>
        <v>0.7166666667</v>
      </c>
      <c r="F6" s="5"/>
      <c r="G6" s="26">
        <f>MAX(C6-A6,0)</f>
        <v>17</v>
      </c>
      <c r="H6" s="4"/>
      <c r="I6" s="5"/>
    </row>
    <row r="7">
      <c r="A7" s="7"/>
      <c r="B7" s="10"/>
      <c r="C7" s="7"/>
      <c r="D7" s="10"/>
      <c r="E7" s="7"/>
      <c r="F7" s="10"/>
      <c r="G7" s="7"/>
      <c r="H7" s="9"/>
      <c r="I7" s="10"/>
    </row>
    <row r="8">
      <c r="A8" s="16"/>
      <c r="B8" s="32"/>
      <c r="C8" s="16"/>
      <c r="D8" s="16"/>
      <c r="E8" s="32"/>
      <c r="F8" s="33"/>
      <c r="G8" s="33"/>
      <c r="H8" s="33"/>
      <c r="I8" s="33"/>
    </row>
    <row r="9" ht="33.0" customHeight="1">
      <c r="A9" s="36" t="s">
        <v>46</v>
      </c>
      <c r="B9" s="36" t="s">
        <v>49</v>
      </c>
      <c r="C9" s="36" t="s">
        <v>51</v>
      </c>
      <c r="D9" s="36" t="s">
        <v>53</v>
      </c>
      <c r="E9" s="36" t="s">
        <v>45</v>
      </c>
      <c r="F9" s="36" t="s">
        <v>44</v>
      </c>
      <c r="G9" s="36" t="s">
        <v>50</v>
      </c>
      <c r="H9" s="36" t="s">
        <v>47</v>
      </c>
      <c r="I9" s="36" t="s">
        <v>48</v>
      </c>
    </row>
    <row r="10">
      <c r="A10" s="43">
        <f t="array" ref="A10:A52">SEQUENCE(43,1)</f>
        <v>1</v>
      </c>
      <c r="B10" s="46">
        <v>46236.0</v>
      </c>
      <c r="C10" s="48" t="s">
        <v>80</v>
      </c>
      <c r="D10" s="53" t="s">
        <v>85</v>
      </c>
      <c r="E10" s="43" t="s">
        <v>102</v>
      </c>
      <c r="F10" s="57" t="s">
        <v>82</v>
      </c>
      <c r="G10" s="57" t="s">
        <v>70</v>
      </c>
      <c r="H10" s="60" t="s">
        <v>74</v>
      </c>
      <c r="I10" s="60" t="s">
        <v>69</v>
      </c>
    </row>
    <row r="11">
      <c r="A11" s="43">
        <v>2.0</v>
      </c>
      <c r="B11" s="46">
        <v>46238.0</v>
      </c>
      <c r="C11" s="48" t="s">
        <v>103</v>
      </c>
      <c r="D11" s="53" t="s">
        <v>104</v>
      </c>
      <c r="E11" s="43" t="s">
        <v>88</v>
      </c>
      <c r="F11" s="57" t="s">
        <v>82</v>
      </c>
      <c r="G11" s="57" t="s">
        <v>70</v>
      </c>
      <c r="H11" s="60" t="s">
        <v>74</v>
      </c>
      <c r="I11" s="60" t="s">
        <v>69</v>
      </c>
    </row>
    <row r="12">
      <c r="A12" s="43">
        <v>3.0</v>
      </c>
      <c r="B12" s="46">
        <v>46238.0</v>
      </c>
      <c r="C12" s="48" t="s">
        <v>105</v>
      </c>
      <c r="D12" s="53" t="s">
        <v>106</v>
      </c>
      <c r="E12" s="43" t="s">
        <v>88</v>
      </c>
      <c r="F12" s="57" t="s">
        <v>82</v>
      </c>
      <c r="G12" s="57" t="s">
        <v>70</v>
      </c>
      <c r="H12" s="60" t="s">
        <v>74</v>
      </c>
      <c r="I12" s="60" t="s">
        <v>69</v>
      </c>
    </row>
    <row r="13">
      <c r="A13" s="43">
        <v>4.0</v>
      </c>
      <c r="B13" s="46">
        <v>46238.0</v>
      </c>
      <c r="C13" s="48" t="s">
        <v>107</v>
      </c>
      <c r="D13" s="53" t="s">
        <v>108</v>
      </c>
      <c r="E13" s="43" t="s">
        <v>71</v>
      </c>
      <c r="F13" s="57" t="s">
        <v>95</v>
      </c>
      <c r="G13" s="57" t="s">
        <v>70</v>
      </c>
      <c r="H13" s="60" t="s">
        <v>74</v>
      </c>
      <c r="I13" s="60" t="s">
        <v>69</v>
      </c>
    </row>
    <row r="14">
      <c r="A14" s="43">
        <v>5.0</v>
      </c>
      <c r="B14" s="46">
        <v>46238.0</v>
      </c>
      <c r="C14" s="48" t="s">
        <v>109</v>
      </c>
      <c r="D14" s="53" t="s">
        <v>110</v>
      </c>
      <c r="E14" s="43" t="s">
        <v>83</v>
      </c>
      <c r="F14" s="57" t="s">
        <v>89</v>
      </c>
      <c r="G14" s="57" t="s">
        <v>70</v>
      </c>
      <c r="H14" s="60" t="s">
        <v>74</v>
      </c>
      <c r="I14" s="60" t="s">
        <v>69</v>
      </c>
    </row>
    <row r="15">
      <c r="A15" s="43">
        <v>6.0</v>
      </c>
      <c r="B15" s="46">
        <v>46238.0</v>
      </c>
      <c r="C15" s="48" t="s">
        <v>111</v>
      </c>
      <c r="D15" s="53" t="s">
        <v>112</v>
      </c>
      <c r="E15" s="43" t="s">
        <v>88</v>
      </c>
      <c r="F15" s="57" t="s">
        <v>97</v>
      </c>
      <c r="G15" s="57" t="s">
        <v>75</v>
      </c>
      <c r="H15" s="60" t="s">
        <v>74</v>
      </c>
      <c r="I15" s="60" t="s">
        <v>69</v>
      </c>
    </row>
    <row r="16">
      <c r="A16" s="43">
        <v>7.0</v>
      </c>
      <c r="B16" s="46">
        <v>46240.0</v>
      </c>
      <c r="C16" s="48" t="s">
        <v>113</v>
      </c>
      <c r="D16" s="53" t="s">
        <v>114</v>
      </c>
      <c r="E16" s="43" t="s">
        <v>94</v>
      </c>
      <c r="F16" s="57" t="s">
        <v>82</v>
      </c>
      <c r="G16" s="57" t="s">
        <v>70</v>
      </c>
      <c r="H16" s="60" t="s">
        <v>74</v>
      </c>
      <c r="I16" s="60" t="s">
        <v>69</v>
      </c>
    </row>
    <row r="17">
      <c r="A17" s="43">
        <v>8.0</v>
      </c>
      <c r="B17" s="46">
        <v>46240.0</v>
      </c>
      <c r="C17" s="48" t="s">
        <v>115</v>
      </c>
      <c r="D17" s="53" t="s">
        <v>116</v>
      </c>
      <c r="E17" s="43" t="s">
        <v>94</v>
      </c>
      <c r="F17" s="57" t="s">
        <v>79</v>
      </c>
      <c r="G17" s="57" t="s">
        <v>70</v>
      </c>
      <c r="H17" s="60" t="s">
        <v>74</v>
      </c>
      <c r="I17" s="60" t="s">
        <v>69</v>
      </c>
    </row>
    <row r="18">
      <c r="A18" s="43">
        <v>9.0</v>
      </c>
      <c r="B18" s="46">
        <v>46241.0</v>
      </c>
      <c r="C18" s="64" t="s">
        <v>117</v>
      </c>
      <c r="D18" s="65" t="s">
        <v>118</v>
      </c>
      <c r="E18" s="43" t="s">
        <v>94</v>
      </c>
      <c r="F18" s="57" t="s">
        <v>89</v>
      </c>
      <c r="G18" s="57" t="s">
        <v>70</v>
      </c>
      <c r="H18" s="60" t="s">
        <v>74</v>
      </c>
      <c r="I18" s="60" t="s">
        <v>69</v>
      </c>
    </row>
    <row r="19">
      <c r="A19" s="43">
        <v>10.0</v>
      </c>
      <c r="B19" s="46">
        <v>46243.0</v>
      </c>
      <c r="C19" s="48" t="s">
        <v>119</v>
      </c>
      <c r="D19" s="53" t="s">
        <v>120</v>
      </c>
      <c r="E19" s="43" t="s">
        <v>81</v>
      </c>
      <c r="F19" s="57" t="s">
        <v>82</v>
      </c>
      <c r="G19" s="57" t="s">
        <v>70</v>
      </c>
      <c r="H19" s="60" t="s">
        <v>74</v>
      </c>
      <c r="I19" s="60" t="s">
        <v>69</v>
      </c>
    </row>
    <row r="20">
      <c r="A20" s="43">
        <v>11.0</v>
      </c>
      <c r="B20" s="46">
        <v>46243.0</v>
      </c>
      <c r="C20" s="48" t="s">
        <v>122</v>
      </c>
      <c r="D20" s="53" t="s">
        <v>123</v>
      </c>
      <c r="E20" s="43" t="s">
        <v>88</v>
      </c>
      <c r="F20" s="57" t="s">
        <v>87</v>
      </c>
      <c r="G20" s="57" t="s">
        <v>70</v>
      </c>
      <c r="H20" s="60" t="s">
        <v>74</v>
      </c>
      <c r="I20" s="60" t="s">
        <v>69</v>
      </c>
    </row>
    <row r="21">
      <c r="A21" s="43">
        <v>12.0</v>
      </c>
      <c r="B21" s="46">
        <v>46245.0</v>
      </c>
      <c r="C21" s="48" t="s">
        <v>125</v>
      </c>
      <c r="D21" s="53" t="s">
        <v>126</v>
      </c>
      <c r="E21" s="43" t="s">
        <v>83</v>
      </c>
      <c r="F21" s="57" t="s">
        <v>97</v>
      </c>
      <c r="G21" s="57" t="s">
        <v>75</v>
      </c>
      <c r="H21" s="60" t="s">
        <v>74</v>
      </c>
      <c r="I21" s="60" t="s">
        <v>69</v>
      </c>
    </row>
    <row r="22">
      <c r="A22" s="43">
        <v>13.0</v>
      </c>
      <c r="B22" s="46">
        <v>46245.0</v>
      </c>
      <c r="C22" s="48" t="s">
        <v>127</v>
      </c>
      <c r="D22" s="53" t="s">
        <v>128</v>
      </c>
      <c r="E22" s="43" t="s">
        <v>81</v>
      </c>
      <c r="F22" s="57" t="s">
        <v>87</v>
      </c>
      <c r="G22" s="57" t="s">
        <v>75</v>
      </c>
      <c r="H22" s="60" t="s">
        <v>74</v>
      </c>
      <c r="I22" s="60" t="s">
        <v>69</v>
      </c>
    </row>
    <row r="23">
      <c r="A23" s="43">
        <v>14.0</v>
      </c>
      <c r="B23" s="46">
        <v>46246.0</v>
      </c>
      <c r="C23" s="48" t="s">
        <v>129</v>
      </c>
      <c r="D23" s="53" t="s">
        <v>130</v>
      </c>
      <c r="E23" s="43" t="s">
        <v>81</v>
      </c>
      <c r="F23" s="57" t="s">
        <v>67</v>
      </c>
      <c r="G23" s="57" t="s">
        <v>75</v>
      </c>
      <c r="H23" s="60" t="s">
        <v>74</v>
      </c>
      <c r="I23" s="60" t="s">
        <v>69</v>
      </c>
    </row>
    <row r="24">
      <c r="A24" s="43">
        <v>15.0</v>
      </c>
      <c r="B24" s="46">
        <v>46246.0</v>
      </c>
      <c r="C24" s="48" t="s">
        <v>131</v>
      </c>
      <c r="D24" s="53" t="s">
        <v>132</v>
      </c>
      <c r="E24" s="43" t="s">
        <v>64</v>
      </c>
      <c r="F24" s="57" t="s">
        <v>79</v>
      </c>
      <c r="G24" s="57" t="s">
        <v>75</v>
      </c>
      <c r="H24" s="60" t="s">
        <v>74</v>
      </c>
      <c r="I24" s="60" t="s">
        <v>69</v>
      </c>
    </row>
    <row r="25">
      <c r="A25" s="43">
        <v>16.0</v>
      </c>
      <c r="B25" s="46">
        <v>46246.0</v>
      </c>
      <c r="C25" s="48" t="s">
        <v>133</v>
      </c>
      <c r="D25" s="53" t="s">
        <v>134</v>
      </c>
      <c r="E25" s="43" t="s">
        <v>88</v>
      </c>
      <c r="F25" s="57" t="s">
        <v>79</v>
      </c>
      <c r="G25" s="57" t="s">
        <v>70</v>
      </c>
      <c r="H25" s="60" t="s">
        <v>74</v>
      </c>
      <c r="I25" s="60" t="s">
        <v>69</v>
      </c>
    </row>
    <row r="26">
      <c r="A26" s="43">
        <v>17.0</v>
      </c>
      <c r="B26" s="46">
        <v>46249.0</v>
      </c>
      <c r="C26" s="48" t="s">
        <v>135</v>
      </c>
      <c r="D26" s="53" t="s">
        <v>136</v>
      </c>
      <c r="E26" s="43" t="s">
        <v>94</v>
      </c>
      <c r="F26" s="57" t="s">
        <v>82</v>
      </c>
      <c r="G26" s="57" t="s">
        <v>63</v>
      </c>
      <c r="H26" s="60" t="s">
        <v>74</v>
      </c>
      <c r="I26" s="60" t="s">
        <v>69</v>
      </c>
    </row>
    <row r="27">
      <c r="A27" s="43">
        <v>18.0</v>
      </c>
      <c r="B27" s="46">
        <v>46249.0</v>
      </c>
      <c r="C27" s="48" t="s">
        <v>137</v>
      </c>
      <c r="D27" s="53" t="s">
        <v>138</v>
      </c>
      <c r="E27" s="43" t="s">
        <v>81</v>
      </c>
      <c r="F27" s="57" t="s">
        <v>82</v>
      </c>
      <c r="G27" s="57" t="s">
        <v>70</v>
      </c>
      <c r="H27" s="60" t="s">
        <v>74</v>
      </c>
      <c r="I27" s="60" t="s">
        <v>69</v>
      </c>
    </row>
    <row r="28">
      <c r="A28" s="43">
        <v>19.0</v>
      </c>
      <c r="B28" s="46">
        <v>46249.0</v>
      </c>
      <c r="C28" s="48" t="s">
        <v>142</v>
      </c>
      <c r="D28" s="53" t="s">
        <v>143</v>
      </c>
      <c r="E28" s="43" t="s">
        <v>83</v>
      </c>
      <c r="F28" s="57" t="s">
        <v>59</v>
      </c>
      <c r="G28" s="57" t="s">
        <v>75</v>
      </c>
      <c r="H28" s="60" t="s">
        <v>74</v>
      </c>
      <c r="I28" s="60" t="s">
        <v>69</v>
      </c>
    </row>
    <row r="29">
      <c r="A29" s="43">
        <v>20.0</v>
      </c>
      <c r="B29" s="46">
        <v>46250.0</v>
      </c>
      <c r="C29" s="48" t="s">
        <v>144</v>
      </c>
      <c r="D29" s="53" t="s">
        <v>145</v>
      </c>
      <c r="E29" s="43" t="s">
        <v>88</v>
      </c>
      <c r="F29" s="57" t="s">
        <v>59</v>
      </c>
      <c r="G29" s="57" t="s">
        <v>75</v>
      </c>
      <c r="H29" s="60" t="s">
        <v>74</v>
      </c>
      <c r="I29" s="60" t="s">
        <v>69</v>
      </c>
    </row>
    <row r="30">
      <c r="A30" s="43">
        <v>21.0</v>
      </c>
      <c r="B30" s="46">
        <v>46250.0</v>
      </c>
      <c r="C30" s="48" t="s">
        <v>146</v>
      </c>
      <c r="D30" s="53" t="s">
        <v>147</v>
      </c>
      <c r="E30" s="43" t="s">
        <v>88</v>
      </c>
      <c r="F30" s="57" t="s">
        <v>89</v>
      </c>
      <c r="G30" s="57" t="s">
        <v>75</v>
      </c>
      <c r="H30" s="60" t="s">
        <v>74</v>
      </c>
      <c r="I30" s="60" t="s">
        <v>69</v>
      </c>
    </row>
    <row r="31">
      <c r="A31" s="43">
        <v>22.0</v>
      </c>
      <c r="B31" s="46">
        <v>46251.0</v>
      </c>
      <c r="C31" s="48" t="s">
        <v>148</v>
      </c>
      <c r="D31" s="53" t="s">
        <v>149</v>
      </c>
      <c r="E31" s="43" t="s">
        <v>64</v>
      </c>
      <c r="F31" s="57" t="s">
        <v>89</v>
      </c>
      <c r="G31" s="57" t="s">
        <v>75</v>
      </c>
      <c r="H31" s="60" t="s">
        <v>74</v>
      </c>
      <c r="I31" s="60" t="s">
        <v>69</v>
      </c>
    </row>
    <row r="32">
      <c r="A32" s="43">
        <v>23.0</v>
      </c>
      <c r="B32" s="46">
        <v>46251.0</v>
      </c>
      <c r="C32" s="48" t="s">
        <v>150</v>
      </c>
      <c r="D32" s="53" t="s">
        <v>151</v>
      </c>
      <c r="E32" s="43" t="s">
        <v>94</v>
      </c>
      <c r="F32" s="57" t="s">
        <v>67</v>
      </c>
      <c r="G32" s="57" t="s">
        <v>75</v>
      </c>
      <c r="H32" s="60" t="s">
        <v>74</v>
      </c>
      <c r="I32" s="60" t="s">
        <v>69</v>
      </c>
    </row>
    <row r="33">
      <c r="A33" s="43">
        <v>24.0</v>
      </c>
      <c r="B33" s="46">
        <v>46251.0</v>
      </c>
      <c r="C33" s="48" t="s">
        <v>152</v>
      </c>
      <c r="D33" s="53" t="s">
        <v>153</v>
      </c>
      <c r="E33" s="43" t="s">
        <v>83</v>
      </c>
      <c r="F33" s="57" t="s">
        <v>59</v>
      </c>
      <c r="G33" s="57" t="s">
        <v>75</v>
      </c>
      <c r="H33" s="60" t="s">
        <v>74</v>
      </c>
      <c r="I33" s="60" t="s">
        <v>69</v>
      </c>
    </row>
    <row r="34">
      <c r="A34" s="43">
        <v>25.0</v>
      </c>
      <c r="B34" s="46">
        <v>46252.0</v>
      </c>
      <c r="C34" s="48" t="s">
        <v>154</v>
      </c>
      <c r="D34" s="53" t="s">
        <v>155</v>
      </c>
      <c r="E34" s="43" t="s">
        <v>64</v>
      </c>
      <c r="F34" s="57" t="s">
        <v>89</v>
      </c>
      <c r="G34" s="57" t="s">
        <v>75</v>
      </c>
      <c r="H34" s="60" t="s">
        <v>74</v>
      </c>
      <c r="I34" s="60" t="s">
        <v>69</v>
      </c>
    </row>
    <row r="35">
      <c r="A35" s="43">
        <v>26.0</v>
      </c>
      <c r="B35" s="46">
        <v>46252.0</v>
      </c>
      <c r="C35" s="48" t="s">
        <v>157</v>
      </c>
      <c r="D35" s="53" t="s">
        <v>158</v>
      </c>
      <c r="E35" s="43" t="s">
        <v>94</v>
      </c>
      <c r="F35" s="57" t="s">
        <v>89</v>
      </c>
      <c r="G35" s="57" t="s">
        <v>75</v>
      </c>
      <c r="H35" s="60" t="s">
        <v>74</v>
      </c>
      <c r="I35" s="60" t="s">
        <v>69</v>
      </c>
    </row>
    <row r="36">
      <c r="A36" s="43">
        <v>27.0</v>
      </c>
      <c r="B36" s="46">
        <v>46252.0</v>
      </c>
      <c r="C36" s="48" t="s">
        <v>159</v>
      </c>
      <c r="D36" s="53" t="s">
        <v>160</v>
      </c>
      <c r="E36" s="43" t="s">
        <v>162</v>
      </c>
      <c r="F36" s="57" t="s">
        <v>82</v>
      </c>
      <c r="G36" s="57" t="s">
        <v>63</v>
      </c>
      <c r="H36" s="60" t="s">
        <v>74</v>
      </c>
      <c r="I36" s="60" t="s">
        <v>69</v>
      </c>
    </row>
    <row r="37">
      <c r="A37" s="43">
        <v>28.0</v>
      </c>
      <c r="B37" s="46">
        <v>46254.0</v>
      </c>
      <c r="C37" s="48" t="s">
        <v>164</v>
      </c>
      <c r="D37" s="53" t="s">
        <v>165</v>
      </c>
      <c r="E37" s="43" t="s">
        <v>166</v>
      </c>
      <c r="F37" s="57" t="s">
        <v>82</v>
      </c>
      <c r="G37" s="57" t="s">
        <v>70</v>
      </c>
      <c r="H37" s="60" t="s">
        <v>74</v>
      </c>
      <c r="I37" s="60" t="s">
        <v>69</v>
      </c>
    </row>
    <row r="38">
      <c r="A38" s="43">
        <v>29.0</v>
      </c>
      <c r="B38" s="46">
        <v>46255.0</v>
      </c>
      <c r="C38" s="48" t="s">
        <v>167</v>
      </c>
      <c r="D38" s="53" t="s">
        <v>168</v>
      </c>
      <c r="E38" s="43" t="s">
        <v>64</v>
      </c>
      <c r="F38" s="57" t="s">
        <v>82</v>
      </c>
      <c r="G38" s="57" t="s">
        <v>63</v>
      </c>
      <c r="H38" s="60" t="s">
        <v>74</v>
      </c>
      <c r="I38" s="60" t="s">
        <v>69</v>
      </c>
    </row>
    <row r="39">
      <c r="A39" s="43">
        <v>30.0</v>
      </c>
      <c r="B39" s="46">
        <v>46255.0</v>
      </c>
      <c r="C39" s="48" t="s">
        <v>169</v>
      </c>
      <c r="D39" s="53" t="s">
        <v>170</v>
      </c>
      <c r="E39" s="43" t="s">
        <v>60</v>
      </c>
      <c r="F39" s="57" t="s">
        <v>82</v>
      </c>
      <c r="G39" s="57" t="s">
        <v>70</v>
      </c>
      <c r="H39" s="60" t="s">
        <v>74</v>
      </c>
      <c r="I39" s="60" t="s">
        <v>69</v>
      </c>
    </row>
    <row r="40">
      <c r="A40" s="43">
        <v>31.0</v>
      </c>
      <c r="B40" s="46">
        <v>46255.0</v>
      </c>
      <c r="C40" s="48" t="s">
        <v>172</v>
      </c>
      <c r="D40" s="53" t="s">
        <v>173</v>
      </c>
      <c r="E40" s="43" t="s">
        <v>94</v>
      </c>
      <c r="F40" s="57" t="s">
        <v>82</v>
      </c>
      <c r="G40" s="57" t="s">
        <v>70</v>
      </c>
      <c r="H40" s="60" t="s">
        <v>74</v>
      </c>
      <c r="I40" s="60" t="s">
        <v>69</v>
      </c>
    </row>
    <row r="41">
      <c r="A41" s="43">
        <v>32.0</v>
      </c>
      <c r="B41" s="46">
        <v>46257.0</v>
      </c>
      <c r="C41" s="48" t="s">
        <v>174</v>
      </c>
      <c r="D41" s="53" t="s">
        <v>175</v>
      </c>
      <c r="E41" s="43" t="s">
        <v>176</v>
      </c>
      <c r="F41" s="57" t="s">
        <v>82</v>
      </c>
      <c r="G41" s="57" t="s">
        <v>70</v>
      </c>
      <c r="H41" s="60" t="s">
        <v>74</v>
      </c>
      <c r="I41" s="60" t="s">
        <v>69</v>
      </c>
    </row>
    <row r="42">
      <c r="A42" s="43">
        <v>33.0</v>
      </c>
      <c r="B42" s="46">
        <v>46257.0</v>
      </c>
      <c r="C42" s="48" t="s">
        <v>177</v>
      </c>
      <c r="D42" s="53" t="s">
        <v>178</v>
      </c>
      <c r="E42" s="43" t="s">
        <v>176</v>
      </c>
      <c r="F42" s="57" t="s">
        <v>82</v>
      </c>
      <c r="G42" s="57" t="s">
        <v>70</v>
      </c>
      <c r="H42" s="60" t="s">
        <v>74</v>
      </c>
      <c r="I42" s="60" t="s">
        <v>69</v>
      </c>
    </row>
    <row r="43">
      <c r="A43" s="43">
        <v>34.0</v>
      </c>
      <c r="B43" s="46">
        <v>46257.0</v>
      </c>
      <c r="C43" s="48" t="s">
        <v>179</v>
      </c>
      <c r="D43" s="53" t="s">
        <v>180</v>
      </c>
      <c r="E43" s="43" t="s">
        <v>176</v>
      </c>
      <c r="F43" s="57" t="s">
        <v>82</v>
      </c>
      <c r="G43" s="57" t="s">
        <v>70</v>
      </c>
      <c r="H43" s="60" t="s">
        <v>74</v>
      </c>
      <c r="I43" s="60" t="s">
        <v>69</v>
      </c>
    </row>
    <row r="44">
      <c r="A44" s="43">
        <v>35.0</v>
      </c>
      <c r="B44" s="46">
        <v>46257.0</v>
      </c>
      <c r="C44" s="48" t="s">
        <v>182</v>
      </c>
      <c r="D44" s="53" t="s">
        <v>183</v>
      </c>
      <c r="E44" s="43" t="s">
        <v>184</v>
      </c>
      <c r="F44" s="57" t="s">
        <v>82</v>
      </c>
      <c r="G44" s="57" t="s">
        <v>70</v>
      </c>
      <c r="H44" s="60" t="s">
        <v>74</v>
      </c>
      <c r="I44" s="60" t="s">
        <v>69</v>
      </c>
    </row>
    <row r="45">
      <c r="A45" s="43">
        <v>36.0</v>
      </c>
      <c r="B45" s="46">
        <v>46257.0</v>
      </c>
      <c r="C45" s="48" t="s">
        <v>185</v>
      </c>
      <c r="D45" s="53" t="s">
        <v>186</v>
      </c>
      <c r="E45" s="43" t="s">
        <v>184</v>
      </c>
      <c r="F45" s="57" t="s">
        <v>82</v>
      </c>
      <c r="G45" s="57" t="s">
        <v>70</v>
      </c>
      <c r="H45" s="60" t="s">
        <v>74</v>
      </c>
      <c r="I45" s="60" t="s">
        <v>69</v>
      </c>
    </row>
    <row r="46">
      <c r="A46" s="43">
        <v>37.0</v>
      </c>
      <c r="B46" s="46">
        <v>46257.0</v>
      </c>
      <c r="C46" s="48" t="s">
        <v>188</v>
      </c>
      <c r="D46" s="53" t="s">
        <v>189</v>
      </c>
      <c r="E46" s="43" t="s">
        <v>162</v>
      </c>
      <c r="F46" s="57" t="s">
        <v>82</v>
      </c>
      <c r="G46" s="57" t="s">
        <v>70</v>
      </c>
      <c r="H46" s="60" t="s">
        <v>74</v>
      </c>
      <c r="I46" s="60" t="s">
        <v>69</v>
      </c>
    </row>
    <row r="47">
      <c r="A47" s="90">
        <v>38.0</v>
      </c>
      <c r="B47" s="46">
        <v>46257.0</v>
      </c>
      <c r="C47" s="48" t="s">
        <v>191</v>
      </c>
      <c r="D47" s="53" t="s">
        <v>192</v>
      </c>
      <c r="E47" s="43" t="s">
        <v>193</v>
      </c>
      <c r="F47" s="90" t="s">
        <v>87</v>
      </c>
      <c r="G47" s="57" t="s">
        <v>70</v>
      </c>
      <c r="H47" s="60" t="s">
        <v>74</v>
      </c>
      <c r="I47" s="60" t="s">
        <v>69</v>
      </c>
    </row>
    <row r="48">
      <c r="A48" s="92">
        <v>39.0</v>
      </c>
      <c r="B48" s="46">
        <v>46260.0</v>
      </c>
      <c r="C48" s="48" t="s">
        <v>194</v>
      </c>
      <c r="D48" s="53" t="s">
        <v>195</v>
      </c>
      <c r="E48" s="43" t="s">
        <v>196</v>
      </c>
      <c r="F48" s="57" t="s">
        <v>82</v>
      </c>
      <c r="G48" s="57" t="s">
        <v>70</v>
      </c>
      <c r="H48" s="60" t="s">
        <v>74</v>
      </c>
      <c r="I48" s="60" t="s">
        <v>69</v>
      </c>
    </row>
    <row r="49">
      <c r="A49" s="92">
        <v>40.0</v>
      </c>
      <c r="B49" s="46">
        <v>46260.0</v>
      </c>
      <c r="C49" s="48" t="s">
        <v>198</v>
      </c>
      <c r="D49" s="53" t="s">
        <v>199</v>
      </c>
      <c r="E49" s="43" t="s">
        <v>94</v>
      </c>
      <c r="F49" s="57" t="s">
        <v>59</v>
      </c>
      <c r="G49" s="57" t="s">
        <v>70</v>
      </c>
      <c r="H49" s="60" t="s">
        <v>74</v>
      </c>
      <c r="I49" s="60" t="s">
        <v>69</v>
      </c>
    </row>
    <row r="50">
      <c r="A50" s="92">
        <v>41.0</v>
      </c>
      <c r="B50" s="46">
        <v>46260.0</v>
      </c>
      <c r="C50" s="48" t="s">
        <v>203</v>
      </c>
      <c r="D50" s="53" t="s">
        <v>204</v>
      </c>
      <c r="E50" s="43" t="s">
        <v>88</v>
      </c>
      <c r="F50" s="57" t="s">
        <v>97</v>
      </c>
      <c r="G50" s="57" t="s">
        <v>70</v>
      </c>
      <c r="H50" s="60" t="s">
        <v>74</v>
      </c>
      <c r="I50" s="60" t="s">
        <v>69</v>
      </c>
    </row>
    <row r="51">
      <c r="A51" s="92">
        <v>42.0</v>
      </c>
      <c r="B51" s="46">
        <v>46261.0</v>
      </c>
      <c r="C51" s="48" t="s">
        <v>206</v>
      </c>
      <c r="D51" s="53" t="s">
        <v>207</v>
      </c>
      <c r="E51" s="43" t="s">
        <v>162</v>
      </c>
      <c r="F51" s="57" t="s">
        <v>82</v>
      </c>
      <c r="G51" s="57" t="s">
        <v>70</v>
      </c>
      <c r="H51" s="60" t="s">
        <v>74</v>
      </c>
      <c r="I51" s="60" t="s">
        <v>69</v>
      </c>
    </row>
    <row r="52">
      <c r="A52" s="43">
        <v>43.0</v>
      </c>
      <c r="B52" s="46">
        <v>46265.0</v>
      </c>
      <c r="C52" s="48" t="s">
        <v>208</v>
      </c>
      <c r="D52" s="53" t="s">
        <v>209</v>
      </c>
      <c r="E52" s="43" t="s">
        <v>193</v>
      </c>
      <c r="F52" s="57" t="s">
        <v>82</v>
      </c>
      <c r="G52" s="57" t="s">
        <v>70</v>
      </c>
      <c r="H52" s="60" t="s">
        <v>74</v>
      </c>
      <c r="I52" s="60" t="s">
        <v>69</v>
      </c>
    </row>
    <row r="53">
      <c r="A53" s="104"/>
      <c r="B53" s="105"/>
      <c r="C53" s="107"/>
      <c r="D53" s="107"/>
      <c r="E53" s="104"/>
      <c r="F53" s="60"/>
      <c r="G53" s="60"/>
      <c r="H53" s="60"/>
      <c r="I53" s="60"/>
    </row>
    <row r="54">
      <c r="A54" s="37"/>
      <c r="B54" s="109"/>
      <c r="C54" s="37"/>
      <c r="D54" s="37"/>
      <c r="E54" s="109"/>
      <c r="F54" s="110"/>
      <c r="G54" s="110"/>
      <c r="H54" s="110"/>
      <c r="I54" s="110"/>
    </row>
    <row r="55" ht="15.75" customHeight="1">
      <c r="A55" s="37"/>
      <c r="B55" s="109"/>
      <c r="C55" s="37"/>
      <c r="D55" s="37"/>
      <c r="E55" s="109"/>
      <c r="F55" s="110"/>
      <c r="G55" s="110"/>
      <c r="H55" s="110"/>
      <c r="I55" s="110"/>
    </row>
    <row r="56" ht="15.75" customHeight="1">
      <c r="A56" s="37"/>
      <c r="B56" s="109"/>
      <c r="C56" s="37"/>
      <c r="D56" s="37"/>
      <c r="E56" s="109"/>
      <c r="F56" s="110"/>
      <c r="G56" s="110"/>
      <c r="H56" s="110"/>
      <c r="I56" s="110"/>
    </row>
    <row r="57" ht="15.75" customHeight="1">
      <c r="A57" s="37"/>
      <c r="B57" s="109"/>
      <c r="C57" s="37"/>
      <c r="D57" s="37"/>
      <c r="E57" s="109"/>
      <c r="F57" s="110"/>
      <c r="G57" s="110"/>
      <c r="H57" s="110"/>
      <c r="I57" s="110"/>
    </row>
    <row r="58" ht="15.75" customHeight="1">
      <c r="A58" s="37"/>
      <c r="B58" s="109"/>
      <c r="C58" s="37"/>
      <c r="D58" s="37"/>
      <c r="E58" s="109"/>
      <c r="F58" s="110"/>
      <c r="G58" s="110"/>
      <c r="H58" s="110"/>
      <c r="I58" s="110"/>
    </row>
    <row r="59" ht="15.75" customHeight="1">
      <c r="A59" s="37"/>
      <c r="B59" s="109"/>
      <c r="C59" s="37"/>
      <c r="D59" s="37"/>
      <c r="E59" s="109"/>
      <c r="F59" s="110"/>
      <c r="G59" s="110"/>
      <c r="H59" s="110"/>
      <c r="I59" s="110"/>
    </row>
    <row r="60" ht="15.75" customHeight="1">
      <c r="A60" s="37"/>
      <c r="B60" s="109"/>
      <c r="C60" s="37"/>
      <c r="D60" s="37"/>
      <c r="E60" s="109"/>
      <c r="F60" s="110"/>
      <c r="G60" s="110"/>
      <c r="H60" s="110"/>
      <c r="I60" s="110"/>
    </row>
    <row r="61" ht="15.75" customHeight="1">
      <c r="A61" s="37"/>
      <c r="B61" s="109"/>
      <c r="C61" s="37"/>
      <c r="D61" s="37"/>
      <c r="E61" s="109"/>
      <c r="F61" s="110"/>
      <c r="G61" s="110"/>
      <c r="H61" s="110"/>
      <c r="I61" s="110"/>
    </row>
    <row r="62" ht="15.75" customHeight="1">
      <c r="A62" s="37"/>
      <c r="B62" s="109"/>
      <c r="C62" s="37"/>
      <c r="D62" s="37"/>
      <c r="E62" s="109"/>
      <c r="F62" s="110"/>
      <c r="G62" s="110"/>
      <c r="H62" s="110"/>
      <c r="I62" s="110"/>
    </row>
    <row r="63" ht="15.75" customHeight="1">
      <c r="A63" s="37"/>
      <c r="B63" s="109"/>
      <c r="C63" s="37"/>
      <c r="D63" s="37"/>
      <c r="E63" s="109"/>
      <c r="F63" s="110"/>
      <c r="G63" s="110"/>
      <c r="H63" s="110"/>
      <c r="I63" s="110"/>
    </row>
    <row r="64" ht="15.75" customHeight="1">
      <c r="A64" s="37"/>
      <c r="B64" s="109"/>
      <c r="C64" s="37"/>
      <c r="D64" s="37"/>
      <c r="E64" s="109"/>
      <c r="F64" s="110"/>
      <c r="G64" s="110"/>
      <c r="H64" s="110"/>
      <c r="I64" s="110"/>
    </row>
    <row r="65" ht="15.75" customHeight="1">
      <c r="A65" s="37"/>
      <c r="B65" s="109"/>
      <c r="C65" s="37"/>
      <c r="D65" s="37"/>
      <c r="E65" s="109"/>
      <c r="F65" s="110"/>
      <c r="G65" s="110"/>
      <c r="H65" s="110"/>
      <c r="I65" s="110"/>
    </row>
    <row r="66" ht="15.75" customHeight="1">
      <c r="A66" s="37"/>
      <c r="B66" s="109"/>
      <c r="C66" s="37"/>
      <c r="D66" s="37"/>
      <c r="E66" s="109"/>
      <c r="F66" s="110"/>
      <c r="G66" s="110"/>
      <c r="H66" s="110"/>
      <c r="I66" s="110"/>
    </row>
    <row r="67" ht="15.75" customHeight="1">
      <c r="A67" s="37"/>
      <c r="B67" s="109"/>
      <c r="C67" s="37"/>
      <c r="D67" s="37"/>
      <c r="E67" s="109"/>
      <c r="F67" s="110"/>
      <c r="G67" s="110"/>
      <c r="H67" s="110"/>
      <c r="I67" s="110"/>
    </row>
    <row r="68" ht="15.75" customHeight="1">
      <c r="A68" s="37"/>
      <c r="B68" s="109"/>
      <c r="C68" s="37"/>
      <c r="D68" s="37"/>
      <c r="E68" s="109"/>
      <c r="F68" s="110"/>
      <c r="G68" s="110"/>
      <c r="H68" s="110"/>
      <c r="I68" s="110"/>
    </row>
    <row r="69" ht="15.75" customHeight="1">
      <c r="A69" s="37"/>
      <c r="B69" s="109"/>
      <c r="C69" s="37"/>
      <c r="D69" s="37"/>
      <c r="E69" s="109"/>
      <c r="F69" s="110"/>
      <c r="G69" s="110"/>
      <c r="H69" s="110"/>
      <c r="I69" s="110"/>
    </row>
    <row r="70" ht="15.75" customHeight="1">
      <c r="A70" s="37"/>
      <c r="B70" s="109"/>
      <c r="C70" s="37"/>
      <c r="D70" s="37"/>
      <c r="E70" s="109"/>
      <c r="F70" s="110"/>
      <c r="G70" s="110"/>
      <c r="H70" s="110"/>
      <c r="I70" s="110"/>
    </row>
    <row r="71" ht="15.75" customHeight="1">
      <c r="B71" s="114"/>
      <c r="E71" s="114"/>
      <c r="F71" s="115"/>
      <c r="G71" s="115"/>
      <c r="H71" s="115"/>
      <c r="I71" s="115"/>
    </row>
    <row r="72" ht="15.75" customHeight="1">
      <c r="B72" s="114"/>
      <c r="E72" s="114"/>
      <c r="F72" s="115"/>
      <c r="G72" s="115"/>
      <c r="H72" s="115"/>
      <c r="I72" s="115"/>
    </row>
    <row r="73" ht="15.75" customHeight="1">
      <c r="B73" s="114"/>
      <c r="E73" s="114"/>
      <c r="F73" s="115"/>
      <c r="G73" s="115"/>
      <c r="H73" s="115"/>
      <c r="I73" s="115"/>
    </row>
    <row r="74" ht="15.75" customHeight="1">
      <c r="B74" s="114"/>
      <c r="E74" s="114"/>
      <c r="F74" s="115"/>
      <c r="G74" s="115"/>
      <c r="H74" s="115"/>
      <c r="I74" s="115"/>
    </row>
    <row r="75" ht="15.75" customHeight="1">
      <c r="B75" s="114"/>
      <c r="E75" s="114"/>
      <c r="F75" s="115"/>
      <c r="G75" s="115"/>
      <c r="H75" s="115"/>
      <c r="I75" s="115"/>
    </row>
    <row r="76" ht="15.75" customHeight="1">
      <c r="B76" s="114"/>
      <c r="E76" s="114"/>
      <c r="F76" s="115"/>
      <c r="G76" s="115"/>
      <c r="H76" s="115"/>
      <c r="I76" s="115"/>
    </row>
    <row r="77" ht="15.75" customHeight="1">
      <c r="B77" s="114"/>
      <c r="E77" s="114"/>
      <c r="F77" s="115"/>
      <c r="G77" s="115"/>
      <c r="H77" s="115"/>
      <c r="I77" s="115"/>
    </row>
    <row r="78" ht="15.75" customHeight="1">
      <c r="B78" s="114"/>
      <c r="E78" s="114"/>
      <c r="F78" s="115"/>
      <c r="G78" s="115"/>
      <c r="H78" s="115"/>
      <c r="I78" s="115"/>
    </row>
    <row r="79" ht="15.75" customHeight="1">
      <c r="B79" s="114"/>
      <c r="E79" s="114"/>
      <c r="F79" s="115"/>
      <c r="G79" s="115"/>
      <c r="H79" s="115"/>
      <c r="I79" s="115"/>
    </row>
    <row r="80" ht="15.75" customHeight="1">
      <c r="B80" s="114"/>
      <c r="E80" s="114"/>
      <c r="F80" s="115"/>
      <c r="G80" s="115"/>
      <c r="H80" s="115"/>
      <c r="I80" s="115"/>
    </row>
    <row r="81" ht="15.75" customHeight="1">
      <c r="B81" s="114"/>
      <c r="E81" s="114"/>
      <c r="F81" s="115"/>
      <c r="G81" s="115"/>
      <c r="H81" s="115"/>
      <c r="I81" s="115"/>
    </row>
    <row r="82" ht="15.75" customHeight="1">
      <c r="B82" s="114"/>
      <c r="E82" s="114"/>
      <c r="F82" s="115"/>
      <c r="G82" s="115"/>
      <c r="H82" s="115"/>
      <c r="I82" s="115"/>
    </row>
    <row r="83" ht="15.75" customHeight="1">
      <c r="B83" s="114"/>
      <c r="E83" s="114"/>
      <c r="F83" s="115"/>
      <c r="G83" s="115"/>
      <c r="H83" s="115"/>
      <c r="I83" s="115"/>
    </row>
    <row r="84" ht="15.75" customHeight="1">
      <c r="B84" s="114"/>
      <c r="E84" s="114"/>
      <c r="F84" s="115"/>
      <c r="G84" s="115"/>
      <c r="H84" s="115"/>
      <c r="I84" s="115"/>
    </row>
    <row r="85" ht="15.75" customHeight="1">
      <c r="B85" s="114"/>
      <c r="E85" s="114"/>
      <c r="F85" s="115"/>
      <c r="G85" s="115"/>
      <c r="H85" s="115"/>
      <c r="I85" s="115"/>
    </row>
    <row r="86" ht="15.75" customHeight="1">
      <c r="B86" s="114"/>
      <c r="E86" s="114"/>
      <c r="F86" s="115"/>
      <c r="G86" s="115"/>
      <c r="H86" s="115"/>
      <c r="I86" s="115"/>
    </row>
    <row r="87" ht="15.75" customHeight="1">
      <c r="B87" s="114"/>
      <c r="E87" s="114"/>
      <c r="F87" s="115"/>
      <c r="G87" s="115"/>
      <c r="H87" s="115"/>
      <c r="I87" s="115"/>
    </row>
    <row r="88" ht="15.75" customHeight="1">
      <c r="B88" s="114"/>
      <c r="E88" s="114"/>
      <c r="F88" s="115"/>
      <c r="G88" s="115"/>
      <c r="H88" s="115"/>
      <c r="I88" s="115"/>
    </row>
    <row r="89" ht="15.75" customHeight="1">
      <c r="B89" s="114"/>
      <c r="E89" s="114"/>
      <c r="F89" s="115"/>
      <c r="G89" s="115"/>
      <c r="H89" s="115"/>
      <c r="I89" s="115"/>
    </row>
    <row r="90" ht="15.75" customHeight="1">
      <c r="B90" s="114"/>
      <c r="E90" s="114"/>
      <c r="F90" s="115"/>
      <c r="G90" s="115"/>
      <c r="H90" s="115"/>
      <c r="I90" s="115"/>
    </row>
    <row r="91" ht="15.75" customHeight="1">
      <c r="B91" s="114"/>
      <c r="E91" s="114"/>
      <c r="F91" s="115"/>
      <c r="G91" s="115"/>
      <c r="H91" s="115"/>
      <c r="I91" s="115"/>
    </row>
    <row r="92" ht="15.75" customHeight="1">
      <c r="B92" s="114"/>
      <c r="E92" s="114"/>
      <c r="F92" s="115"/>
      <c r="G92" s="115"/>
      <c r="H92" s="115"/>
      <c r="I92" s="115"/>
    </row>
    <row r="93" ht="15.75" customHeight="1">
      <c r="B93" s="114"/>
      <c r="E93" s="114"/>
      <c r="F93" s="115"/>
      <c r="G93" s="115"/>
      <c r="H93" s="115"/>
      <c r="I93" s="115"/>
    </row>
    <row r="94" ht="15.75" customHeight="1">
      <c r="B94" s="114"/>
      <c r="E94" s="114"/>
      <c r="F94" s="115"/>
      <c r="G94" s="115"/>
      <c r="H94" s="115"/>
      <c r="I94" s="115"/>
    </row>
    <row r="95" ht="15.75" customHeight="1">
      <c r="B95" s="114"/>
      <c r="E95" s="114"/>
      <c r="F95" s="115"/>
      <c r="G95" s="115"/>
      <c r="H95" s="115"/>
      <c r="I95" s="115"/>
    </row>
    <row r="96" ht="15.75" customHeight="1">
      <c r="B96" s="114"/>
      <c r="E96" s="114"/>
      <c r="F96" s="115"/>
      <c r="G96" s="115"/>
      <c r="H96" s="115"/>
      <c r="I96" s="115"/>
    </row>
    <row r="97" ht="15.75" customHeight="1">
      <c r="B97" s="114"/>
      <c r="E97" s="114"/>
      <c r="F97" s="115"/>
      <c r="G97" s="115"/>
      <c r="H97" s="115"/>
      <c r="I97" s="115"/>
    </row>
    <row r="98" ht="15.75" customHeight="1">
      <c r="B98" s="114"/>
      <c r="E98" s="114"/>
      <c r="F98" s="115"/>
      <c r="G98" s="115"/>
      <c r="H98" s="115"/>
      <c r="I98" s="115"/>
    </row>
    <row r="99" ht="15.75" customHeight="1">
      <c r="B99" s="114"/>
      <c r="E99" s="114"/>
      <c r="F99" s="115"/>
      <c r="G99" s="115"/>
      <c r="H99" s="115"/>
      <c r="I99" s="115"/>
    </row>
    <row r="100" ht="15.75" customHeight="1">
      <c r="B100" s="114"/>
      <c r="E100" s="114"/>
      <c r="F100" s="115"/>
      <c r="G100" s="115"/>
      <c r="H100" s="115"/>
      <c r="I100" s="115"/>
    </row>
    <row r="101" ht="15.75" customHeight="1">
      <c r="B101" s="114"/>
      <c r="E101" s="114"/>
      <c r="F101" s="115"/>
      <c r="G101" s="115"/>
      <c r="H101" s="115"/>
      <c r="I101" s="115"/>
    </row>
    <row r="102" ht="15.75" customHeight="1">
      <c r="B102" s="114"/>
      <c r="E102" s="114"/>
      <c r="F102" s="115"/>
      <c r="G102" s="115"/>
      <c r="H102" s="115"/>
      <c r="I102" s="115"/>
    </row>
    <row r="103" ht="15.75" customHeight="1">
      <c r="B103" s="114"/>
      <c r="E103" s="114"/>
      <c r="F103" s="115"/>
      <c r="G103" s="115"/>
      <c r="H103" s="115"/>
      <c r="I103" s="115"/>
    </row>
    <row r="104" ht="15.75" customHeight="1">
      <c r="B104" s="114"/>
      <c r="E104" s="114"/>
      <c r="F104" s="115"/>
      <c r="G104" s="115"/>
      <c r="H104" s="115"/>
      <c r="I104" s="115"/>
    </row>
    <row r="105" ht="15.75" customHeight="1">
      <c r="B105" s="114"/>
      <c r="E105" s="114"/>
      <c r="F105" s="115"/>
      <c r="G105" s="115"/>
      <c r="H105" s="115"/>
      <c r="I105" s="115"/>
    </row>
    <row r="106" ht="15.75" customHeight="1">
      <c r="B106" s="114"/>
      <c r="E106" s="114"/>
      <c r="F106" s="115"/>
      <c r="G106" s="115"/>
      <c r="H106" s="115"/>
      <c r="I106" s="115"/>
    </row>
    <row r="107" ht="15.75" customHeight="1">
      <c r="B107" s="114"/>
      <c r="E107" s="114"/>
      <c r="F107" s="115"/>
      <c r="G107" s="115"/>
      <c r="H107" s="115"/>
      <c r="I107" s="115"/>
    </row>
    <row r="108" ht="15.75" customHeight="1">
      <c r="B108" s="114"/>
      <c r="E108" s="114"/>
      <c r="F108" s="115"/>
      <c r="G108" s="115"/>
      <c r="H108" s="115"/>
      <c r="I108" s="115"/>
    </row>
    <row r="109" ht="15.75" customHeight="1">
      <c r="B109" s="114"/>
      <c r="E109" s="114"/>
      <c r="F109" s="115"/>
      <c r="G109" s="115"/>
      <c r="H109" s="115"/>
      <c r="I109" s="115"/>
    </row>
    <row r="110" ht="15.75" customHeight="1">
      <c r="B110" s="114"/>
      <c r="E110" s="114"/>
      <c r="F110" s="115"/>
      <c r="G110" s="115"/>
      <c r="H110" s="115"/>
      <c r="I110" s="115"/>
    </row>
    <row r="111" ht="15.75" customHeight="1">
      <c r="B111" s="114"/>
      <c r="E111" s="114"/>
      <c r="F111" s="115"/>
      <c r="G111" s="115"/>
      <c r="H111" s="115"/>
      <c r="I111" s="115"/>
    </row>
    <row r="112" ht="15.75" customHeight="1">
      <c r="B112" s="114"/>
      <c r="E112" s="114"/>
      <c r="F112" s="115"/>
      <c r="G112" s="115"/>
      <c r="H112" s="115"/>
      <c r="I112" s="115"/>
    </row>
    <row r="113" ht="15.75" customHeight="1">
      <c r="B113" s="114"/>
      <c r="E113" s="114"/>
      <c r="F113" s="115"/>
      <c r="G113" s="115"/>
      <c r="H113" s="115"/>
      <c r="I113" s="115"/>
    </row>
    <row r="114" ht="15.75" customHeight="1">
      <c r="B114" s="114"/>
      <c r="E114" s="114"/>
      <c r="F114" s="115"/>
      <c r="G114" s="115"/>
      <c r="H114" s="115"/>
      <c r="I114" s="115"/>
    </row>
    <row r="115" ht="15.75" customHeight="1">
      <c r="B115" s="114"/>
      <c r="E115" s="114"/>
      <c r="F115" s="115"/>
      <c r="G115" s="115"/>
      <c r="H115" s="115"/>
      <c r="I115" s="115"/>
    </row>
    <row r="116" ht="15.75" customHeight="1">
      <c r="B116" s="114"/>
      <c r="E116" s="114"/>
      <c r="F116" s="115"/>
      <c r="G116" s="115"/>
      <c r="H116" s="115"/>
      <c r="I116" s="115"/>
    </row>
    <row r="117" ht="15.75" customHeight="1">
      <c r="B117" s="114"/>
      <c r="E117" s="114"/>
      <c r="F117" s="115"/>
      <c r="G117" s="115"/>
      <c r="H117" s="115"/>
      <c r="I117" s="115"/>
    </row>
    <row r="118" ht="15.75" customHeight="1">
      <c r="B118" s="114"/>
      <c r="E118" s="114"/>
      <c r="F118" s="115"/>
      <c r="G118" s="115"/>
      <c r="H118" s="115"/>
      <c r="I118" s="115"/>
    </row>
    <row r="119" ht="15.75" customHeight="1">
      <c r="B119" s="114"/>
      <c r="E119" s="114"/>
      <c r="F119" s="115"/>
      <c r="G119" s="115"/>
      <c r="H119" s="115"/>
      <c r="I119" s="115"/>
    </row>
    <row r="120" ht="15.75" customHeight="1">
      <c r="B120" s="114"/>
      <c r="E120" s="114"/>
      <c r="F120" s="115"/>
      <c r="G120" s="115"/>
      <c r="H120" s="115"/>
      <c r="I120" s="115"/>
    </row>
    <row r="121" ht="15.75" customHeight="1">
      <c r="B121" s="114"/>
      <c r="E121" s="114"/>
      <c r="F121" s="115"/>
      <c r="G121" s="115"/>
      <c r="H121" s="115"/>
      <c r="I121" s="115"/>
    </row>
    <row r="122" ht="15.75" customHeight="1">
      <c r="B122" s="114"/>
      <c r="E122" s="114"/>
      <c r="F122" s="115"/>
      <c r="G122" s="115"/>
      <c r="H122" s="115"/>
      <c r="I122" s="115"/>
    </row>
    <row r="123" ht="15.75" customHeight="1">
      <c r="B123" s="114"/>
      <c r="E123" s="114"/>
      <c r="F123" s="115"/>
      <c r="G123" s="115"/>
      <c r="H123" s="115"/>
      <c r="I123" s="115"/>
    </row>
    <row r="124" ht="15.75" customHeight="1">
      <c r="B124" s="114"/>
      <c r="E124" s="114"/>
      <c r="F124" s="115"/>
      <c r="G124" s="115"/>
      <c r="H124" s="115"/>
      <c r="I124" s="115"/>
    </row>
    <row r="125" ht="15.75" customHeight="1">
      <c r="B125" s="114"/>
      <c r="E125" s="114"/>
      <c r="F125" s="115"/>
      <c r="G125" s="115"/>
      <c r="H125" s="115"/>
      <c r="I125" s="115"/>
    </row>
    <row r="126" ht="15.75" customHeight="1">
      <c r="B126" s="114"/>
      <c r="E126" s="114"/>
      <c r="F126" s="115"/>
      <c r="G126" s="115"/>
      <c r="H126" s="115"/>
      <c r="I126" s="115"/>
    </row>
    <row r="127" ht="15.75" customHeight="1">
      <c r="B127" s="114"/>
      <c r="E127" s="114"/>
      <c r="F127" s="115"/>
      <c r="G127" s="115"/>
      <c r="H127" s="115"/>
      <c r="I127" s="115"/>
    </row>
    <row r="128" ht="15.75" customHeight="1">
      <c r="B128" s="114"/>
      <c r="E128" s="114"/>
      <c r="F128" s="115"/>
      <c r="G128" s="115"/>
      <c r="H128" s="115"/>
      <c r="I128" s="115"/>
    </row>
    <row r="129" ht="15.75" customHeight="1">
      <c r="B129" s="114"/>
      <c r="E129" s="114"/>
      <c r="F129" s="115"/>
      <c r="G129" s="115"/>
      <c r="H129" s="115"/>
      <c r="I129" s="115"/>
    </row>
    <row r="130" ht="15.75" customHeight="1">
      <c r="B130" s="114"/>
      <c r="E130" s="114"/>
      <c r="F130" s="115"/>
      <c r="G130" s="115"/>
      <c r="H130" s="115"/>
      <c r="I130" s="115"/>
    </row>
    <row r="131" ht="15.75" customHeight="1">
      <c r="B131" s="114"/>
      <c r="E131" s="114"/>
      <c r="F131" s="115"/>
      <c r="G131" s="115"/>
      <c r="H131" s="115"/>
      <c r="I131" s="115"/>
    </row>
    <row r="132" ht="15.75" customHeight="1">
      <c r="B132" s="114"/>
      <c r="E132" s="114"/>
      <c r="F132" s="115"/>
      <c r="G132" s="115"/>
      <c r="H132" s="115"/>
      <c r="I132" s="115"/>
    </row>
    <row r="133" ht="15.75" customHeight="1">
      <c r="B133" s="114"/>
      <c r="E133" s="114"/>
      <c r="F133" s="115"/>
      <c r="G133" s="115"/>
      <c r="H133" s="115"/>
      <c r="I133" s="115"/>
    </row>
    <row r="134" ht="15.75" customHeight="1">
      <c r="B134" s="114"/>
      <c r="E134" s="114"/>
      <c r="F134" s="115"/>
      <c r="G134" s="115"/>
      <c r="H134" s="115"/>
      <c r="I134" s="115"/>
    </row>
    <row r="135" ht="15.75" customHeight="1">
      <c r="B135" s="114"/>
      <c r="E135" s="114"/>
      <c r="F135" s="115"/>
      <c r="G135" s="115"/>
      <c r="H135" s="115"/>
      <c r="I135" s="115"/>
    </row>
    <row r="136" ht="15.75" customHeight="1">
      <c r="B136" s="114"/>
      <c r="E136" s="114"/>
      <c r="F136" s="115"/>
      <c r="G136" s="115"/>
      <c r="H136" s="115"/>
      <c r="I136" s="115"/>
    </row>
    <row r="137" ht="15.75" customHeight="1">
      <c r="B137" s="114"/>
      <c r="E137" s="114"/>
      <c r="F137" s="115"/>
      <c r="G137" s="115"/>
      <c r="H137" s="115"/>
      <c r="I137" s="115"/>
    </row>
    <row r="138" ht="15.75" customHeight="1">
      <c r="B138" s="114"/>
      <c r="E138" s="114"/>
      <c r="F138" s="115"/>
      <c r="G138" s="115"/>
      <c r="H138" s="115"/>
      <c r="I138" s="115"/>
    </row>
    <row r="139" ht="15.75" customHeight="1">
      <c r="B139" s="114"/>
      <c r="E139" s="114"/>
      <c r="F139" s="115"/>
      <c r="G139" s="115"/>
      <c r="H139" s="115"/>
      <c r="I139" s="115"/>
    </row>
    <row r="140" ht="15.75" customHeight="1">
      <c r="B140" s="114"/>
      <c r="E140" s="114"/>
      <c r="F140" s="115"/>
      <c r="G140" s="115"/>
      <c r="H140" s="115"/>
      <c r="I140" s="115"/>
    </row>
    <row r="141" ht="15.75" customHeight="1">
      <c r="B141" s="114"/>
      <c r="E141" s="114"/>
      <c r="F141" s="115"/>
      <c r="G141" s="115"/>
      <c r="H141" s="115"/>
      <c r="I141" s="115"/>
    </row>
    <row r="142" ht="15.75" customHeight="1">
      <c r="B142" s="114"/>
      <c r="E142" s="114"/>
      <c r="F142" s="115"/>
      <c r="G142" s="115"/>
      <c r="H142" s="115"/>
      <c r="I142" s="115"/>
    </row>
    <row r="143" ht="15.75" customHeight="1">
      <c r="B143" s="114"/>
      <c r="E143" s="114"/>
      <c r="F143" s="115"/>
      <c r="G143" s="115"/>
      <c r="H143" s="115"/>
      <c r="I143" s="115"/>
    </row>
    <row r="144" ht="15.75" customHeight="1">
      <c r="B144" s="114"/>
      <c r="E144" s="114"/>
      <c r="F144" s="115"/>
      <c r="G144" s="115"/>
      <c r="H144" s="115"/>
      <c r="I144" s="115"/>
    </row>
    <row r="145" ht="15.75" customHeight="1">
      <c r="B145" s="114"/>
      <c r="E145" s="114"/>
      <c r="F145" s="115"/>
      <c r="G145" s="115"/>
      <c r="H145" s="115"/>
      <c r="I145" s="115"/>
    </row>
    <row r="146" ht="15.75" customHeight="1">
      <c r="B146" s="114"/>
      <c r="E146" s="114"/>
      <c r="F146" s="115"/>
      <c r="G146" s="115"/>
      <c r="H146" s="115"/>
      <c r="I146" s="115"/>
    </row>
    <row r="147" ht="15.75" customHeight="1">
      <c r="B147" s="114"/>
      <c r="E147" s="114"/>
      <c r="F147" s="115"/>
      <c r="G147" s="115"/>
      <c r="H147" s="115"/>
      <c r="I147" s="115"/>
    </row>
    <row r="148" ht="15.75" customHeight="1">
      <c r="B148" s="114"/>
      <c r="E148" s="114"/>
      <c r="F148" s="115"/>
      <c r="G148" s="115"/>
      <c r="H148" s="115"/>
      <c r="I148" s="115"/>
    </row>
    <row r="149" ht="15.75" customHeight="1">
      <c r="B149" s="114"/>
      <c r="E149" s="114"/>
      <c r="F149" s="115"/>
      <c r="G149" s="115"/>
      <c r="H149" s="115"/>
      <c r="I149" s="115"/>
    </row>
    <row r="150" ht="15.75" customHeight="1">
      <c r="B150" s="114"/>
      <c r="E150" s="114"/>
      <c r="F150" s="115"/>
      <c r="G150" s="115"/>
      <c r="H150" s="115"/>
      <c r="I150" s="115"/>
    </row>
    <row r="151" ht="15.75" customHeight="1">
      <c r="B151" s="114"/>
      <c r="E151" s="114"/>
      <c r="F151" s="115"/>
      <c r="G151" s="115"/>
      <c r="H151" s="115"/>
      <c r="I151" s="115"/>
    </row>
    <row r="152" ht="15.75" customHeight="1">
      <c r="B152" s="114"/>
      <c r="E152" s="114"/>
      <c r="F152" s="115"/>
      <c r="G152" s="115"/>
      <c r="H152" s="115"/>
      <c r="I152" s="115"/>
    </row>
    <row r="153" ht="15.75" customHeight="1">
      <c r="B153" s="114"/>
      <c r="E153" s="114"/>
      <c r="F153" s="115"/>
      <c r="G153" s="115"/>
      <c r="H153" s="115"/>
      <c r="I153" s="115"/>
    </row>
    <row r="154" ht="15.75" customHeight="1">
      <c r="B154" s="114"/>
      <c r="E154" s="114"/>
      <c r="F154" s="115"/>
      <c r="G154" s="115"/>
      <c r="H154" s="115"/>
      <c r="I154" s="115"/>
    </row>
    <row r="155" ht="15.75" customHeight="1">
      <c r="B155" s="114"/>
      <c r="E155" s="114"/>
      <c r="F155" s="115"/>
      <c r="G155" s="115"/>
      <c r="H155" s="115"/>
      <c r="I155" s="115"/>
    </row>
    <row r="156" ht="15.75" customHeight="1">
      <c r="B156" s="114"/>
      <c r="E156" s="114"/>
      <c r="F156" s="115"/>
      <c r="G156" s="115"/>
      <c r="H156" s="115"/>
      <c r="I156" s="115"/>
    </row>
    <row r="157" ht="15.75" customHeight="1">
      <c r="B157" s="114"/>
      <c r="E157" s="114"/>
      <c r="F157" s="115"/>
      <c r="G157" s="115"/>
      <c r="H157" s="115"/>
      <c r="I157" s="115"/>
    </row>
    <row r="158" ht="15.75" customHeight="1">
      <c r="B158" s="114"/>
      <c r="E158" s="114"/>
      <c r="F158" s="115"/>
      <c r="G158" s="115"/>
      <c r="H158" s="115"/>
      <c r="I158" s="115"/>
    </row>
    <row r="159" ht="15.75" customHeight="1">
      <c r="B159" s="114"/>
      <c r="E159" s="114"/>
      <c r="F159" s="115"/>
      <c r="G159" s="115"/>
      <c r="H159" s="115"/>
      <c r="I159" s="115"/>
    </row>
    <row r="160" ht="15.75" customHeight="1">
      <c r="B160" s="114"/>
      <c r="E160" s="114"/>
      <c r="F160" s="115"/>
      <c r="G160" s="115"/>
      <c r="H160" s="115"/>
      <c r="I160" s="115"/>
    </row>
    <row r="161" ht="15.75" customHeight="1">
      <c r="B161" s="114"/>
      <c r="E161" s="114"/>
      <c r="F161" s="115"/>
      <c r="G161" s="115"/>
      <c r="H161" s="115"/>
      <c r="I161" s="115"/>
    </row>
    <row r="162" ht="15.75" customHeight="1">
      <c r="B162" s="114"/>
      <c r="E162" s="114"/>
      <c r="F162" s="115"/>
      <c r="G162" s="115"/>
      <c r="H162" s="115"/>
      <c r="I162" s="115"/>
    </row>
    <row r="163" ht="15.75" customHeight="1">
      <c r="B163" s="114"/>
      <c r="E163" s="114"/>
      <c r="F163" s="115"/>
      <c r="G163" s="115"/>
      <c r="H163" s="115"/>
      <c r="I163" s="115"/>
    </row>
    <row r="164" ht="15.75" customHeight="1">
      <c r="B164" s="114"/>
      <c r="E164" s="114"/>
      <c r="F164" s="115"/>
      <c r="G164" s="115"/>
      <c r="H164" s="115"/>
      <c r="I164" s="115"/>
    </row>
    <row r="165" ht="15.75" customHeight="1">
      <c r="B165" s="114"/>
      <c r="E165" s="114"/>
      <c r="F165" s="115"/>
      <c r="G165" s="115"/>
      <c r="H165" s="115"/>
      <c r="I165" s="115"/>
    </row>
    <row r="166" ht="15.75" customHeight="1">
      <c r="B166" s="114"/>
      <c r="E166" s="114"/>
      <c r="F166" s="115"/>
      <c r="G166" s="115"/>
      <c r="H166" s="115"/>
      <c r="I166" s="115"/>
    </row>
    <row r="167" ht="15.75" customHeight="1">
      <c r="B167" s="114"/>
      <c r="E167" s="114"/>
      <c r="F167" s="115"/>
      <c r="G167" s="115"/>
      <c r="H167" s="115"/>
      <c r="I167" s="115"/>
    </row>
    <row r="168" ht="15.75" customHeight="1">
      <c r="B168" s="114"/>
      <c r="E168" s="114"/>
      <c r="F168" s="115"/>
      <c r="G168" s="115"/>
      <c r="H168" s="115"/>
      <c r="I168" s="115"/>
    </row>
    <row r="169" ht="15.75" customHeight="1">
      <c r="B169" s="114"/>
      <c r="E169" s="114"/>
      <c r="F169" s="115"/>
      <c r="G169" s="115"/>
      <c r="H169" s="115"/>
      <c r="I169" s="115"/>
    </row>
    <row r="170" ht="15.75" customHeight="1">
      <c r="B170" s="114"/>
      <c r="E170" s="114"/>
      <c r="F170" s="115"/>
      <c r="G170" s="115"/>
      <c r="H170" s="115"/>
      <c r="I170" s="115"/>
    </row>
    <row r="171" ht="15.75" customHeight="1">
      <c r="B171" s="114"/>
      <c r="E171" s="114"/>
      <c r="F171" s="115"/>
      <c r="G171" s="115"/>
      <c r="H171" s="115"/>
      <c r="I171" s="115"/>
    </row>
    <row r="172" ht="15.75" customHeight="1">
      <c r="B172" s="114"/>
      <c r="E172" s="114"/>
      <c r="F172" s="115"/>
      <c r="G172" s="115"/>
      <c r="H172" s="115"/>
      <c r="I172" s="115"/>
    </row>
    <row r="173" ht="15.75" customHeight="1">
      <c r="B173" s="114"/>
      <c r="E173" s="114"/>
      <c r="F173" s="115"/>
      <c r="G173" s="115"/>
      <c r="H173" s="115"/>
      <c r="I173" s="115"/>
    </row>
    <row r="174" ht="15.75" customHeight="1">
      <c r="B174" s="114"/>
      <c r="E174" s="114"/>
      <c r="F174" s="115"/>
      <c r="G174" s="115"/>
      <c r="H174" s="115"/>
      <c r="I174" s="115"/>
    </row>
    <row r="175" ht="15.75" customHeight="1">
      <c r="B175" s="114"/>
      <c r="E175" s="114"/>
      <c r="F175" s="115"/>
      <c r="G175" s="115"/>
      <c r="H175" s="115"/>
      <c r="I175" s="115"/>
    </row>
    <row r="176" ht="15.75" customHeight="1">
      <c r="B176" s="114"/>
      <c r="E176" s="114"/>
      <c r="F176" s="115"/>
      <c r="G176" s="115"/>
      <c r="H176" s="115"/>
      <c r="I176" s="115"/>
    </row>
    <row r="177" ht="15.75" customHeight="1">
      <c r="B177" s="114"/>
      <c r="E177" s="114"/>
      <c r="F177" s="115"/>
      <c r="G177" s="115"/>
      <c r="H177" s="115"/>
      <c r="I177" s="115"/>
    </row>
    <row r="178" ht="15.75" customHeight="1">
      <c r="B178" s="114"/>
      <c r="E178" s="114"/>
      <c r="F178" s="115"/>
      <c r="G178" s="115"/>
      <c r="H178" s="115"/>
      <c r="I178" s="115"/>
    </row>
    <row r="179" ht="15.75" customHeight="1">
      <c r="B179" s="114"/>
      <c r="E179" s="114"/>
      <c r="F179" s="115"/>
      <c r="G179" s="115"/>
      <c r="H179" s="115"/>
      <c r="I179" s="115"/>
    </row>
    <row r="180" ht="15.75" customHeight="1">
      <c r="B180" s="114"/>
      <c r="E180" s="114"/>
      <c r="F180" s="115"/>
      <c r="G180" s="115"/>
      <c r="H180" s="115"/>
      <c r="I180" s="115"/>
    </row>
    <row r="181" ht="15.75" customHeight="1">
      <c r="B181" s="114"/>
      <c r="E181" s="114"/>
      <c r="F181" s="115"/>
      <c r="G181" s="115"/>
      <c r="H181" s="115"/>
      <c r="I181" s="115"/>
    </row>
    <row r="182" ht="15.75" customHeight="1">
      <c r="B182" s="114"/>
      <c r="E182" s="114"/>
      <c r="F182" s="115"/>
      <c r="G182" s="115"/>
      <c r="H182" s="115"/>
      <c r="I182" s="115"/>
    </row>
    <row r="183" ht="15.75" customHeight="1">
      <c r="B183" s="114"/>
      <c r="E183" s="114"/>
      <c r="F183" s="115"/>
      <c r="G183" s="115"/>
      <c r="H183" s="115"/>
      <c r="I183" s="115"/>
    </row>
    <row r="184" ht="15.75" customHeight="1">
      <c r="B184" s="114"/>
      <c r="E184" s="114"/>
      <c r="F184" s="115"/>
      <c r="G184" s="115"/>
      <c r="H184" s="115"/>
      <c r="I184" s="115"/>
    </row>
    <row r="185" ht="15.75" customHeight="1">
      <c r="B185" s="114"/>
      <c r="E185" s="114"/>
      <c r="F185" s="115"/>
      <c r="G185" s="115"/>
      <c r="H185" s="115"/>
      <c r="I185" s="115"/>
    </row>
    <row r="186" ht="15.75" customHeight="1">
      <c r="B186" s="114"/>
      <c r="E186" s="114"/>
      <c r="F186" s="115"/>
      <c r="G186" s="115"/>
      <c r="H186" s="115"/>
      <c r="I186" s="115"/>
    </row>
    <row r="187" ht="15.75" customHeight="1">
      <c r="B187" s="114"/>
      <c r="E187" s="114"/>
      <c r="F187" s="115"/>
      <c r="G187" s="115"/>
      <c r="H187" s="115"/>
      <c r="I187" s="115"/>
    </row>
    <row r="188" ht="15.75" customHeight="1">
      <c r="B188" s="114"/>
      <c r="E188" s="114"/>
      <c r="F188" s="115"/>
      <c r="G188" s="115"/>
      <c r="H188" s="115"/>
      <c r="I188" s="115"/>
    </row>
    <row r="189" ht="15.75" customHeight="1">
      <c r="B189" s="114"/>
      <c r="E189" s="114"/>
      <c r="F189" s="115"/>
      <c r="G189" s="115"/>
      <c r="H189" s="115"/>
      <c r="I189" s="115"/>
    </row>
    <row r="190" ht="15.75" customHeight="1">
      <c r="B190" s="114"/>
      <c r="E190" s="114"/>
      <c r="F190" s="115"/>
      <c r="G190" s="115"/>
      <c r="H190" s="115"/>
      <c r="I190" s="115"/>
    </row>
    <row r="191" ht="15.75" customHeight="1">
      <c r="B191" s="114"/>
      <c r="E191" s="114"/>
      <c r="F191" s="115"/>
      <c r="G191" s="115"/>
      <c r="H191" s="115"/>
      <c r="I191" s="115"/>
    </row>
    <row r="192" ht="15.75" customHeight="1">
      <c r="B192" s="114"/>
      <c r="E192" s="114"/>
      <c r="F192" s="115"/>
      <c r="G192" s="115"/>
      <c r="H192" s="115"/>
      <c r="I192" s="115"/>
    </row>
    <row r="193" ht="15.75" customHeight="1">
      <c r="B193" s="114"/>
      <c r="E193" s="114"/>
      <c r="F193" s="115"/>
      <c r="G193" s="115"/>
      <c r="H193" s="115"/>
      <c r="I193" s="115"/>
    </row>
    <row r="194" ht="15.75" customHeight="1">
      <c r="B194" s="114"/>
      <c r="E194" s="114"/>
      <c r="F194" s="115"/>
      <c r="G194" s="115"/>
      <c r="H194" s="115"/>
      <c r="I194" s="115"/>
    </row>
    <row r="195" ht="15.75" customHeight="1">
      <c r="B195" s="114"/>
      <c r="E195" s="114"/>
      <c r="F195" s="115"/>
      <c r="G195" s="115"/>
      <c r="H195" s="115"/>
      <c r="I195" s="115"/>
    </row>
    <row r="196" ht="15.75" customHeight="1">
      <c r="B196" s="114"/>
      <c r="E196" s="114"/>
      <c r="F196" s="115"/>
      <c r="G196" s="115"/>
      <c r="H196" s="115"/>
      <c r="I196" s="115"/>
    </row>
    <row r="197" ht="15.75" customHeight="1">
      <c r="B197" s="114"/>
      <c r="E197" s="114"/>
      <c r="F197" s="115"/>
      <c r="G197" s="115"/>
      <c r="H197" s="115"/>
      <c r="I197" s="115"/>
    </row>
    <row r="198" ht="15.75" customHeight="1">
      <c r="B198" s="114"/>
      <c r="E198" s="114"/>
      <c r="F198" s="115"/>
      <c r="G198" s="115"/>
      <c r="H198" s="115"/>
      <c r="I198" s="115"/>
    </row>
    <row r="199" ht="15.75" customHeight="1">
      <c r="B199" s="114"/>
      <c r="E199" s="114"/>
      <c r="F199" s="115"/>
      <c r="G199" s="115"/>
      <c r="H199" s="115"/>
      <c r="I199" s="115"/>
    </row>
    <row r="200" ht="15.75" customHeight="1">
      <c r="B200" s="114"/>
      <c r="E200" s="114"/>
      <c r="F200" s="115"/>
      <c r="G200" s="115"/>
      <c r="H200" s="115"/>
      <c r="I200" s="115"/>
    </row>
    <row r="201" ht="15.75" customHeight="1">
      <c r="B201" s="114"/>
      <c r="E201" s="114"/>
      <c r="F201" s="115"/>
      <c r="G201" s="115"/>
      <c r="H201" s="115"/>
      <c r="I201" s="115"/>
    </row>
    <row r="202" ht="15.75" customHeight="1">
      <c r="B202" s="114"/>
      <c r="E202" s="114"/>
      <c r="F202" s="115"/>
      <c r="G202" s="115"/>
      <c r="H202" s="115"/>
      <c r="I202" s="115"/>
    </row>
    <row r="203" ht="15.75" customHeight="1">
      <c r="B203" s="114"/>
      <c r="E203" s="114"/>
      <c r="F203" s="115"/>
      <c r="G203" s="115"/>
      <c r="H203" s="115"/>
      <c r="I203" s="115"/>
    </row>
    <row r="204" ht="15.75" customHeight="1">
      <c r="B204" s="114"/>
      <c r="E204" s="114"/>
      <c r="F204" s="115"/>
      <c r="G204" s="115"/>
      <c r="H204" s="115"/>
      <c r="I204" s="115"/>
    </row>
    <row r="205" ht="15.75" customHeight="1">
      <c r="B205" s="114"/>
      <c r="E205" s="114"/>
      <c r="F205" s="115"/>
      <c r="G205" s="115"/>
      <c r="H205" s="115"/>
      <c r="I205" s="115"/>
    </row>
    <row r="206" ht="15.75" customHeight="1">
      <c r="B206" s="114"/>
      <c r="E206" s="114"/>
      <c r="F206" s="115"/>
      <c r="G206" s="115"/>
      <c r="H206" s="115"/>
      <c r="I206" s="115"/>
    </row>
    <row r="207" ht="15.75" customHeight="1">
      <c r="B207" s="114"/>
      <c r="E207" s="114"/>
      <c r="F207" s="115"/>
      <c r="G207" s="115"/>
      <c r="H207" s="115"/>
      <c r="I207" s="115"/>
    </row>
    <row r="208" ht="15.75" customHeight="1">
      <c r="B208" s="114"/>
      <c r="E208" s="114"/>
      <c r="F208" s="115"/>
      <c r="G208" s="115"/>
      <c r="H208" s="115"/>
      <c r="I208" s="115"/>
    </row>
    <row r="209" ht="15.75" customHeight="1">
      <c r="B209" s="114"/>
      <c r="E209" s="114"/>
      <c r="F209" s="115"/>
      <c r="G209" s="115"/>
      <c r="H209" s="115"/>
      <c r="I209" s="115"/>
    </row>
    <row r="210" ht="15.75" customHeight="1">
      <c r="B210" s="114"/>
      <c r="E210" s="114"/>
      <c r="F210" s="115"/>
      <c r="G210" s="115"/>
      <c r="H210" s="115"/>
      <c r="I210" s="115"/>
    </row>
    <row r="211" ht="15.75" customHeight="1">
      <c r="B211" s="114"/>
      <c r="E211" s="114"/>
      <c r="F211" s="115"/>
      <c r="G211" s="115"/>
      <c r="H211" s="115"/>
      <c r="I211" s="115"/>
    </row>
    <row r="212" ht="15.75" customHeight="1">
      <c r="B212" s="114"/>
      <c r="E212" s="114"/>
      <c r="F212" s="115"/>
      <c r="G212" s="115"/>
      <c r="H212" s="115"/>
      <c r="I212" s="115"/>
    </row>
    <row r="213" ht="15.75" customHeight="1">
      <c r="B213" s="114"/>
      <c r="E213" s="114"/>
      <c r="F213" s="115"/>
      <c r="G213" s="115"/>
      <c r="H213" s="115"/>
      <c r="I213" s="115"/>
    </row>
    <row r="214" ht="15.75" customHeight="1">
      <c r="B214" s="114"/>
      <c r="E214" s="114"/>
      <c r="F214" s="115"/>
      <c r="G214" s="115"/>
      <c r="H214" s="115"/>
      <c r="I214" s="115"/>
    </row>
    <row r="215" ht="15.75" customHeight="1">
      <c r="B215" s="114"/>
      <c r="E215" s="114"/>
      <c r="F215" s="115"/>
      <c r="G215" s="115"/>
      <c r="H215" s="115"/>
      <c r="I215" s="115"/>
    </row>
    <row r="216" ht="15.75" customHeight="1">
      <c r="B216" s="114"/>
      <c r="E216" s="114"/>
      <c r="F216" s="115"/>
      <c r="G216" s="115"/>
      <c r="H216" s="115"/>
      <c r="I216" s="115"/>
    </row>
    <row r="217" ht="15.75" customHeight="1">
      <c r="B217" s="114"/>
      <c r="E217" s="114"/>
      <c r="F217" s="115"/>
      <c r="G217" s="115"/>
      <c r="H217" s="115"/>
      <c r="I217" s="115"/>
    </row>
    <row r="218" ht="15.75" customHeight="1">
      <c r="B218" s="114"/>
      <c r="E218" s="114"/>
      <c r="F218" s="115"/>
      <c r="G218" s="115"/>
      <c r="H218" s="115"/>
      <c r="I218" s="115"/>
    </row>
    <row r="219" ht="15.75" customHeight="1">
      <c r="B219" s="114"/>
      <c r="E219" s="114"/>
      <c r="F219" s="115"/>
      <c r="G219" s="115"/>
      <c r="H219" s="115"/>
      <c r="I219" s="115"/>
    </row>
    <row r="220" ht="15.75" customHeight="1">
      <c r="B220" s="114"/>
      <c r="E220" s="114"/>
      <c r="F220" s="115"/>
      <c r="G220" s="115"/>
      <c r="H220" s="115"/>
      <c r="I220" s="115"/>
    </row>
    <row r="221" ht="15.75" customHeight="1">
      <c r="B221" s="114"/>
      <c r="E221" s="114"/>
      <c r="F221" s="115"/>
      <c r="G221" s="115"/>
      <c r="H221" s="115"/>
      <c r="I221" s="115"/>
    </row>
    <row r="222" ht="15.75" customHeight="1">
      <c r="B222" s="114"/>
      <c r="E222" s="114"/>
      <c r="F222" s="115"/>
      <c r="G222" s="115"/>
      <c r="H222" s="115"/>
      <c r="I222" s="115"/>
    </row>
    <row r="223" ht="15.75" customHeight="1">
      <c r="B223" s="114"/>
      <c r="E223" s="114"/>
      <c r="F223" s="115"/>
      <c r="G223" s="115"/>
      <c r="H223" s="115"/>
      <c r="I223" s="115"/>
    </row>
    <row r="224" ht="15.75" customHeight="1">
      <c r="B224" s="114"/>
      <c r="E224" s="114"/>
      <c r="F224" s="115"/>
      <c r="G224" s="115"/>
      <c r="H224" s="115"/>
      <c r="I224" s="115"/>
    </row>
    <row r="225" ht="15.75" customHeight="1">
      <c r="B225" s="114"/>
      <c r="E225" s="114"/>
      <c r="F225" s="115"/>
      <c r="G225" s="115"/>
      <c r="H225" s="115"/>
      <c r="I225" s="115"/>
    </row>
    <row r="226" ht="15.75" customHeight="1">
      <c r="B226" s="114"/>
      <c r="E226" s="114"/>
      <c r="F226" s="115"/>
      <c r="G226" s="115"/>
      <c r="H226" s="115"/>
      <c r="I226" s="115"/>
    </row>
    <row r="227" ht="15.75" customHeight="1">
      <c r="B227" s="114"/>
      <c r="E227" s="114"/>
      <c r="F227" s="115"/>
      <c r="G227" s="115"/>
      <c r="H227" s="115"/>
      <c r="I227" s="115"/>
    </row>
    <row r="228" ht="15.75" customHeight="1">
      <c r="B228" s="114"/>
      <c r="E228" s="114"/>
      <c r="F228" s="115"/>
      <c r="G228" s="115"/>
      <c r="H228" s="115"/>
      <c r="I228" s="115"/>
    </row>
    <row r="229" ht="15.75" customHeight="1">
      <c r="B229" s="114"/>
      <c r="E229" s="114"/>
      <c r="F229" s="115"/>
      <c r="G229" s="115"/>
      <c r="H229" s="115"/>
      <c r="I229" s="115"/>
    </row>
    <row r="230" ht="15.75" customHeight="1">
      <c r="B230" s="114"/>
      <c r="E230" s="114"/>
      <c r="F230" s="115"/>
      <c r="G230" s="115"/>
      <c r="H230" s="115"/>
      <c r="I230" s="115"/>
    </row>
    <row r="231" ht="15.75" customHeight="1">
      <c r="B231" s="114"/>
      <c r="E231" s="114"/>
      <c r="F231" s="115"/>
      <c r="G231" s="115"/>
      <c r="H231" s="115"/>
      <c r="I231" s="115"/>
    </row>
    <row r="232" ht="15.75" customHeight="1">
      <c r="B232" s="114"/>
      <c r="E232" s="114"/>
      <c r="F232" s="115"/>
      <c r="G232" s="115"/>
      <c r="H232" s="115"/>
      <c r="I232" s="115"/>
    </row>
    <row r="233" ht="15.75" customHeight="1">
      <c r="B233" s="114"/>
      <c r="E233" s="114"/>
      <c r="F233" s="115"/>
      <c r="G233" s="115"/>
      <c r="H233" s="115"/>
      <c r="I233" s="115"/>
    </row>
    <row r="234" ht="15.75" customHeight="1">
      <c r="B234" s="114"/>
      <c r="E234" s="114"/>
      <c r="F234" s="115"/>
      <c r="G234" s="115"/>
      <c r="H234" s="115"/>
      <c r="I234" s="115"/>
    </row>
    <row r="235" ht="15.75" customHeight="1">
      <c r="B235" s="114"/>
      <c r="E235" s="114"/>
      <c r="F235" s="115"/>
      <c r="G235" s="115"/>
      <c r="H235" s="115"/>
      <c r="I235" s="115"/>
    </row>
    <row r="236" ht="15.75" customHeight="1">
      <c r="B236" s="114"/>
      <c r="E236" s="114"/>
      <c r="F236" s="115"/>
      <c r="G236" s="115"/>
      <c r="H236" s="115"/>
      <c r="I236" s="115"/>
    </row>
    <row r="237" ht="15.75" customHeight="1">
      <c r="B237" s="114"/>
      <c r="E237" s="114"/>
      <c r="F237" s="115"/>
      <c r="G237" s="115"/>
      <c r="H237" s="115"/>
      <c r="I237" s="115"/>
    </row>
    <row r="238" ht="15.75" customHeight="1">
      <c r="B238" s="114"/>
      <c r="E238" s="114"/>
      <c r="F238" s="115"/>
      <c r="G238" s="115"/>
      <c r="H238" s="115"/>
      <c r="I238" s="115"/>
    </row>
    <row r="239" ht="15.75" customHeight="1">
      <c r="B239" s="114"/>
      <c r="E239" s="114"/>
      <c r="F239" s="115"/>
      <c r="G239" s="115"/>
      <c r="H239" s="115"/>
      <c r="I239" s="115"/>
    </row>
    <row r="240" ht="15.75" customHeight="1">
      <c r="B240" s="114"/>
      <c r="E240" s="114"/>
      <c r="F240" s="115"/>
      <c r="G240" s="115"/>
      <c r="H240" s="115"/>
      <c r="I240" s="115"/>
    </row>
    <row r="241" ht="15.75" customHeight="1">
      <c r="B241" s="114"/>
      <c r="E241" s="114"/>
      <c r="F241" s="115"/>
      <c r="G241" s="115"/>
      <c r="H241" s="115"/>
      <c r="I241" s="115"/>
    </row>
    <row r="242" ht="15.75" customHeight="1">
      <c r="B242" s="114"/>
      <c r="E242" s="114"/>
      <c r="F242" s="115"/>
      <c r="G242" s="115"/>
      <c r="H242" s="115"/>
      <c r="I242" s="115"/>
    </row>
    <row r="243" ht="15.75" customHeight="1">
      <c r="B243" s="114"/>
      <c r="E243" s="114"/>
      <c r="F243" s="115"/>
      <c r="G243" s="115"/>
      <c r="H243" s="115"/>
      <c r="I243" s="115"/>
    </row>
    <row r="244" ht="15.75" customHeight="1">
      <c r="B244" s="114"/>
      <c r="E244" s="114"/>
      <c r="F244" s="115"/>
      <c r="G244" s="115"/>
      <c r="H244" s="115"/>
      <c r="I244" s="115"/>
    </row>
    <row r="245" ht="15.75" customHeight="1">
      <c r="B245" s="114"/>
      <c r="E245" s="114"/>
      <c r="F245" s="115"/>
      <c r="G245" s="115"/>
      <c r="H245" s="115"/>
      <c r="I245" s="115"/>
    </row>
    <row r="246" ht="15.75" customHeight="1">
      <c r="B246" s="114"/>
      <c r="E246" s="114"/>
      <c r="F246" s="115"/>
      <c r="G246" s="115"/>
      <c r="H246" s="115"/>
      <c r="I246" s="115"/>
    </row>
    <row r="247" ht="15.75" customHeight="1">
      <c r="B247" s="114"/>
      <c r="E247" s="114"/>
      <c r="F247" s="115"/>
      <c r="G247" s="115"/>
      <c r="H247" s="115"/>
      <c r="I247" s="115"/>
    </row>
    <row r="248" ht="15.75" customHeight="1">
      <c r="B248" s="114"/>
      <c r="E248" s="114"/>
      <c r="F248" s="115"/>
      <c r="G248" s="115"/>
      <c r="H248" s="115"/>
      <c r="I248" s="115"/>
    </row>
    <row r="249" ht="15.75" customHeight="1">
      <c r="B249" s="114"/>
      <c r="E249" s="114"/>
      <c r="F249" s="115"/>
      <c r="G249" s="115"/>
      <c r="H249" s="115"/>
      <c r="I249" s="115"/>
    </row>
    <row r="250" ht="15.75" customHeight="1">
      <c r="B250" s="114"/>
      <c r="E250" s="114"/>
      <c r="F250" s="115"/>
      <c r="G250" s="115"/>
      <c r="H250" s="115"/>
      <c r="I250" s="115"/>
    </row>
    <row r="251" ht="15.75" customHeight="1">
      <c r="B251" s="114"/>
      <c r="E251" s="114"/>
      <c r="F251" s="115"/>
      <c r="G251" s="115"/>
      <c r="H251" s="115"/>
      <c r="I251" s="115"/>
    </row>
    <row r="252" ht="15.75" customHeight="1">
      <c r="B252" s="114"/>
      <c r="E252" s="114"/>
      <c r="F252" s="115"/>
      <c r="G252" s="115"/>
      <c r="H252" s="115"/>
      <c r="I252" s="115"/>
    </row>
    <row r="253" ht="15.75" customHeight="1">
      <c r="B253" s="114"/>
      <c r="E253" s="114"/>
      <c r="F253" s="115"/>
      <c r="G253" s="115"/>
      <c r="H253" s="115"/>
      <c r="I253" s="115"/>
    </row>
    <row r="254" ht="15.75" customHeight="1">
      <c r="B254" s="114"/>
      <c r="E254" s="114"/>
      <c r="F254" s="115"/>
      <c r="G254" s="115"/>
      <c r="H254" s="115"/>
      <c r="I254" s="115"/>
    </row>
    <row r="255" ht="15.75" customHeight="1">
      <c r="B255" s="114"/>
      <c r="E255" s="114"/>
      <c r="F255" s="115"/>
      <c r="G255" s="115"/>
      <c r="H255" s="115"/>
      <c r="I255" s="115"/>
    </row>
    <row r="256" ht="15.75" customHeight="1">
      <c r="B256" s="114"/>
      <c r="E256" s="114"/>
      <c r="F256" s="115"/>
      <c r="G256" s="115"/>
      <c r="H256" s="115"/>
      <c r="I256" s="115"/>
    </row>
    <row r="257" ht="15.75" customHeight="1">
      <c r="B257" s="114"/>
      <c r="E257" s="114"/>
      <c r="F257" s="115"/>
      <c r="G257" s="115"/>
      <c r="H257" s="115"/>
      <c r="I257" s="115"/>
    </row>
    <row r="258" ht="15.75" customHeight="1">
      <c r="B258" s="114"/>
      <c r="E258" s="114"/>
      <c r="F258" s="115"/>
      <c r="G258" s="115"/>
      <c r="H258" s="115"/>
      <c r="I258" s="115"/>
    </row>
    <row r="259" ht="15.75" customHeight="1">
      <c r="B259" s="114"/>
      <c r="E259" s="114"/>
      <c r="F259" s="115"/>
      <c r="G259" s="115"/>
      <c r="H259" s="115"/>
      <c r="I259" s="115"/>
    </row>
    <row r="260" ht="15.75" customHeight="1">
      <c r="B260" s="114"/>
      <c r="E260" s="114"/>
      <c r="F260" s="115"/>
      <c r="G260" s="115"/>
      <c r="H260" s="115"/>
      <c r="I260" s="115"/>
    </row>
    <row r="261" ht="15.75" customHeight="1">
      <c r="B261" s="114"/>
      <c r="E261" s="114"/>
      <c r="F261" s="115"/>
      <c r="G261" s="115"/>
      <c r="H261" s="115"/>
      <c r="I261" s="115"/>
    </row>
    <row r="262" ht="15.75" customHeight="1">
      <c r="B262" s="114"/>
      <c r="E262" s="114"/>
      <c r="F262" s="115"/>
      <c r="G262" s="115"/>
      <c r="H262" s="115"/>
      <c r="I262" s="115"/>
    </row>
    <row r="263" ht="15.75" customHeight="1">
      <c r="B263" s="114"/>
      <c r="E263" s="114"/>
      <c r="F263" s="115"/>
      <c r="G263" s="115"/>
      <c r="H263" s="115"/>
      <c r="I263" s="115"/>
    </row>
    <row r="264" ht="15.75" customHeight="1">
      <c r="B264" s="114"/>
      <c r="E264" s="114"/>
      <c r="F264" s="115"/>
      <c r="G264" s="115"/>
      <c r="H264" s="115"/>
      <c r="I264" s="115"/>
    </row>
    <row r="265" ht="15.75" customHeight="1">
      <c r="B265" s="114"/>
      <c r="E265" s="114"/>
      <c r="F265" s="115"/>
      <c r="G265" s="115"/>
      <c r="H265" s="115"/>
      <c r="I265" s="115"/>
    </row>
    <row r="266" ht="15.75" customHeight="1">
      <c r="B266" s="114"/>
      <c r="E266" s="114"/>
      <c r="F266" s="115"/>
      <c r="G266" s="115"/>
      <c r="H266" s="115"/>
      <c r="I266" s="115"/>
    </row>
    <row r="267" ht="15.75" customHeight="1">
      <c r="B267" s="114"/>
      <c r="E267" s="114"/>
      <c r="F267" s="115"/>
      <c r="G267" s="115"/>
      <c r="H267" s="115"/>
      <c r="I267" s="115"/>
    </row>
    <row r="268" ht="15.75" customHeight="1">
      <c r="B268" s="114"/>
      <c r="E268" s="114"/>
      <c r="F268" s="115"/>
      <c r="G268" s="115"/>
      <c r="H268" s="115"/>
      <c r="I268" s="115"/>
    </row>
    <row r="269" ht="15.75" customHeight="1">
      <c r="B269" s="114"/>
      <c r="E269" s="114"/>
      <c r="F269" s="115"/>
      <c r="G269" s="115"/>
      <c r="H269" s="115"/>
      <c r="I269" s="115"/>
    </row>
    <row r="270" ht="15.75" customHeight="1">
      <c r="B270" s="114"/>
      <c r="E270" s="114"/>
      <c r="F270" s="115"/>
      <c r="G270" s="115"/>
      <c r="H270" s="115"/>
      <c r="I270" s="115"/>
    </row>
    <row r="271" ht="15.75" customHeight="1">
      <c r="B271" s="114"/>
      <c r="E271" s="114"/>
      <c r="F271" s="115"/>
      <c r="G271" s="115"/>
      <c r="H271" s="115"/>
      <c r="I271" s="115"/>
    </row>
    <row r="272" ht="15.75" customHeight="1">
      <c r="B272" s="114"/>
      <c r="E272" s="114"/>
      <c r="F272" s="115"/>
      <c r="G272" s="115"/>
      <c r="H272" s="115"/>
      <c r="I272" s="115"/>
    </row>
    <row r="273" ht="15.75" customHeight="1">
      <c r="B273" s="114"/>
      <c r="E273" s="114"/>
      <c r="F273" s="115"/>
      <c r="G273" s="115"/>
      <c r="H273" s="115"/>
      <c r="I273" s="115"/>
    </row>
    <row r="274" ht="15.75" customHeight="1">
      <c r="B274" s="114"/>
      <c r="E274" s="114"/>
      <c r="F274" s="115"/>
      <c r="G274" s="115"/>
      <c r="H274" s="115"/>
      <c r="I274" s="115"/>
    </row>
    <row r="275" ht="15.75" customHeight="1">
      <c r="B275" s="114"/>
      <c r="E275" s="114"/>
      <c r="F275" s="115"/>
      <c r="G275" s="115"/>
      <c r="H275" s="115"/>
      <c r="I275" s="115"/>
    </row>
    <row r="276" ht="15.75" customHeight="1">
      <c r="B276" s="114"/>
      <c r="E276" s="114"/>
      <c r="F276" s="115"/>
      <c r="G276" s="115"/>
      <c r="H276" s="115"/>
      <c r="I276" s="115"/>
    </row>
    <row r="277" ht="15.75" customHeight="1">
      <c r="B277" s="114"/>
      <c r="E277" s="114"/>
      <c r="F277" s="115"/>
      <c r="G277" s="115"/>
      <c r="H277" s="115"/>
      <c r="I277" s="115"/>
    </row>
    <row r="278" ht="15.75" customHeight="1">
      <c r="B278" s="114"/>
      <c r="E278" s="114"/>
      <c r="F278" s="115"/>
      <c r="G278" s="115"/>
      <c r="H278" s="115"/>
      <c r="I278" s="115"/>
    </row>
    <row r="279" ht="15.75" customHeight="1">
      <c r="B279" s="114"/>
      <c r="E279" s="114"/>
      <c r="F279" s="115"/>
      <c r="G279" s="115"/>
      <c r="H279" s="115"/>
      <c r="I279" s="115"/>
    </row>
    <row r="280" ht="15.75" customHeight="1">
      <c r="B280" s="114"/>
      <c r="E280" s="114"/>
      <c r="F280" s="115"/>
      <c r="G280" s="115"/>
      <c r="H280" s="115"/>
      <c r="I280" s="115"/>
    </row>
    <row r="281" ht="15.75" customHeight="1">
      <c r="B281" s="114"/>
      <c r="E281" s="114"/>
      <c r="F281" s="115"/>
      <c r="G281" s="115"/>
      <c r="H281" s="115"/>
      <c r="I281" s="115"/>
    </row>
    <row r="282" ht="15.75" customHeight="1">
      <c r="B282" s="114"/>
      <c r="E282" s="114"/>
      <c r="F282" s="115"/>
      <c r="G282" s="115"/>
      <c r="H282" s="115"/>
      <c r="I282" s="115"/>
    </row>
    <row r="283" ht="15.75" customHeight="1">
      <c r="B283" s="114"/>
      <c r="E283" s="114"/>
      <c r="F283" s="115"/>
      <c r="G283" s="115"/>
      <c r="H283" s="115"/>
      <c r="I283" s="115"/>
    </row>
    <row r="284" ht="15.75" customHeight="1">
      <c r="B284" s="114"/>
      <c r="E284" s="114"/>
      <c r="F284" s="115"/>
      <c r="G284" s="115"/>
      <c r="H284" s="115"/>
      <c r="I284" s="115"/>
    </row>
    <row r="285" ht="15.75" customHeight="1">
      <c r="B285" s="114"/>
      <c r="E285" s="114"/>
      <c r="F285" s="115"/>
      <c r="G285" s="115"/>
      <c r="H285" s="115"/>
      <c r="I285" s="115"/>
    </row>
    <row r="286" ht="15.75" customHeight="1">
      <c r="B286" s="114"/>
      <c r="E286" s="114"/>
      <c r="F286" s="115"/>
      <c r="G286" s="115"/>
      <c r="H286" s="115"/>
      <c r="I286" s="115"/>
    </row>
    <row r="287" ht="15.75" customHeight="1">
      <c r="B287" s="114"/>
      <c r="E287" s="114"/>
      <c r="F287" s="115"/>
      <c r="G287" s="115"/>
      <c r="H287" s="115"/>
      <c r="I287" s="115"/>
    </row>
    <row r="288" ht="15.75" customHeight="1">
      <c r="B288" s="114"/>
      <c r="E288" s="114"/>
      <c r="F288" s="115"/>
      <c r="G288" s="115"/>
      <c r="H288" s="115"/>
      <c r="I288" s="115"/>
    </row>
    <row r="289" ht="15.75" customHeight="1">
      <c r="B289" s="114"/>
      <c r="E289" s="114"/>
      <c r="F289" s="115"/>
      <c r="G289" s="115"/>
      <c r="H289" s="115"/>
      <c r="I289" s="115"/>
    </row>
    <row r="290" ht="15.75" customHeight="1">
      <c r="B290" s="114"/>
      <c r="E290" s="114"/>
      <c r="F290" s="115"/>
      <c r="G290" s="115"/>
      <c r="H290" s="115"/>
      <c r="I290" s="115"/>
    </row>
    <row r="291" ht="15.75" customHeight="1">
      <c r="B291" s="114"/>
      <c r="E291" s="114"/>
      <c r="F291" s="115"/>
      <c r="G291" s="115"/>
      <c r="H291" s="115"/>
      <c r="I291" s="115"/>
    </row>
    <row r="292" ht="15.75" customHeight="1">
      <c r="B292" s="114"/>
      <c r="E292" s="114"/>
      <c r="F292" s="115"/>
      <c r="G292" s="115"/>
      <c r="H292" s="115"/>
      <c r="I292" s="115"/>
    </row>
    <row r="293" ht="15.75" customHeight="1">
      <c r="B293" s="114"/>
      <c r="E293" s="114"/>
      <c r="F293" s="115"/>
      <c r="G293" s="115"/>
      <c r="H293" s="115"/>
      <c r="I293" s="115"/>
    </row>
    <row r="294" ht="15.75" customHeight="1">
      <c r="B294" s="114"/>
      <c r="E294" s="114"/>
      <c r="F294" s="115"/>
      <c r="G294" s="115"/>
      <c r="H294" s="115"/>
      <c r="I294" s="115"/>
    </row>
    <row r="295" ht="15.75" customHeight="1">
      <c r="B295" s="114"/>
      <c r="E295" s="114"/>
      <c r="F295" s="115"/>
      <c r="G295" s="115"/>
      <c r="H295" s="115"/>
      <c r="I295" s="115"/>
    </row>
    <row r="296" ht="15.75" customHeight="1">
      <c r="B296" s="114"/>
      <c r="E296" s="114"/>
      <c r="F296" s="115"/>
      <c r="G296" s="115"/>
      <c r="H296" s="115"/>
      <c r="I296" s="115"/>
    </row>
    <row r="297" ht="15.75" customHeight="1">
      <c r="B297" s="114"/>
      <c r="E297" s="114"/>
      <c r="F297" s="115"/>
      <c r="G297" s="115"/>
      <c r="H297" s="115"/>
      <c r="I297" s="115"/>
    </row>
    <row r="298" ht="15.75" customHeight="1">
      <c r="B298" s="114"/>
      <c r="E298" s="114"/>
      <c r="F298" s="115"/>
      <c r="G298" s="115"/>
      <c r="H298" s="115"/>
      <c r="I298" s="115"/>
    </row>
    <row r="299" ht="15.75" customHeight="1">
      <c r="B299" s="114"/>
      <c r="E299" s="114"/>
      <c r="F299" s="115"/>
      <c r="G299" s="115"/>
      <c r="H299" s="115"/>
      <c r="I299" s="115"/>
    </row>
    <row r="300" ht="15.75" customHeight="1">
      <c r="B300" s="114"/>
      <c r="E300" s="114"/>
      <c r="F300" s="115"/>
      <c r="G300" s="115"/>
      <c r="H300" s="115"/>
      <c r="I300" s="115"/>
    </row>
    <row r="301" ht="15.75" customHeight="1">
      <c r="B301" s="114"/>
      <c r="E301" s="114"/>
      <c r="F301" s="115"/>
      <c r="G301" s="115"/>
      <c r="H301" s="115"/>
      <c r="I301" s="115"/>
    </row>
    <row r="302" ht="15.75" customHeight="1">
      <c r="B302" s="114"/>
      <c r="E302" s="114"/>
      <c r="F302" s="115"/>
      <c r="G302" s="115"/>
      <c r="H302" s="115"/>
      <c r="I302" s="115"/>
    </row>
    <row r="303" ht="15.75" customHeight="1">
      <c r="B303" s="114"/>
      <c r="E303" s="114"/>
      <c r="F303" s="115"/>
      <c r="G303" s="115"/>
      <c r="H303" s="115"/>
      <c r="I303" s="115"/>
    </row>
    <row r="304" ht="15.75" customHeight="1">
      <c r="B304" s="114"/>
      <c r="E304" s="114"/>
      <c r="F304" s="115"/>
      <c r="G304" s="115"/>
      <c r="H304" s="115"/>
      <c r="I304" s="115"/>
    </row>
    <row r="305" ht="15.75" customHeight="1">
      <c r="B305" s="114"/>
      <c r="E305" s="114"/>
      <c r="F305" s="115"/>
      <c r="G305" s="115"/>
      <c r="H305" s="115"/>
      <c r="I305" s="115"/>
    </row>
    <row r="306" ht="15.75" customHeight="1">
      <c r="B306" s="114"/>
      <c r="E306" s="114"/>
      <c r="F306" s="115"/>
      <c r="G306" s="115"/>
      <c r="H306" s="115"/>
      <c r="I306" s="115"/>
    </row>
    <row r="307" ht="15.75" customHeight="1">
      <c r="B307" s="114"/>
      <c r="E307" s="114"/>
      <c r="F307" s="115"/>
      <c r="G307" s="115"/>
      <c r="H307" s="115"/>
      <c r="I307" s="115"/>
    </row>
    <row r="308" ht="15.75" customHeight="1">
      <c r="B308" s="114"/>
      <c r="E308" s="114"/>
      <c r="F308" s="115"/>
      <c r="G308" s="115"/>
      <c r="H308" s="115"/>
      <c r="I308" s="115"/>
    </row>
    <row r="309" ht="15.75" customHeight="1">
      <c r="B309" s="114"/>
      <c r="E309" s="114"/>
      <c r="F309" s="115"/>
      <c r="G309" s="115"/>
      <c r="H309" s="115"/>
      <c r="I309" s="115"/>
    </row>
    <row r="310" ht="15.75" customHeight="1">
      <c r="B310" s="114"/>
      <c r="E310" s="114"/>
      <c r="F310" s="115"/>
      <c r="G310" s="115"/>
      <c r="H310" s="115"/>
      <c r="I310" s="115"/>
    </row>
    <row r="311" ht="15.75" customHeight="1">
      <c r="B311" s="114"/>
      <c r="E311" s="114"/>
      <c r="F311" s="115"/>
      <c r="G311" s="115"/>
      <c r="H311" s="115"/>
      <c r="I311" s="115"/>
    </row>
    <row r="312" ht="15.75" customHeight="1">
      <c r="B312" s="114"/>
      <c r="E312" s="114"/>
      <c r="F312" s="115"/>
      <c r="G312" s="115"/>
      <c r="H312" s="115"/>
      <c r="I312" s="115"/>
    </row>
    <row r="313" ht="15.75" customHeight="1">
      <c r="B313" s="114"/>
      <c r="E313" s="114"/>
      <c r="F313" s="115"/>
      <c r="G313" s="115"/>
      <c r="H313" s="115"/>
      <c r="I313" s="115"/>
    </row>
    <row r="314" ht="15.75" customHeight="1">
      <c r="B314" s="114"/>
      <c r="E314" s="114"/>
      <c r="F314" s="115"/>
      <c r="G314" s="115"/>
      <c r="H314" s="115"/>
      <c r="I314" s="115"/>
    </row>
    <row r="315" ht="15.75" customHeight="1">
      <c r="B315" s="114"/>
      <c r="E315" s="114"/>
      <c r="F315" s="115"/>
      <c r="G315" s="115"/>
      <c r="H315" s="115"/>
      <c r="I315" s="115"/>
    </row>
    <row r="316" ht="15.75" customHeight="1">
      <c r="B316" s="114"/>
      <c r="E316" s="114"/>
      <c r="F316" s="115"/>
      <c r="G316" s="115"/>
      <c r="H316" s="115"/>
      <c r="I316" s="115"/>
    </row>
    <row r="317" ht="15.75" customHeight="1">
      <c r="B317" s="114"/>
      <c r="E317" s="114"/>
      <c r="F317" s="115"/>
      <c r="G317" s="115"/>
      <c r="H317" s="115"/>
      <c r="I317" s="115"/>
    </row>
    <row r="318" ht="15.75" customHeight="1">
      <c r="B318" s="114"/>
      <c r="E318" s="114"/>
      <c r="F318" s="115"/>
      <c r="G318" s="115"/>
      <c r="H318" s="115"/>
      <c r="I318" s="115"/>
    </row>
    <row r="319" ht="15.75" customHeight="1">
      <c r="B319" s="114"/>
      <c r="E319" s="114"/>
      <c r="F319" s="115"/>
      <c r="G319" s="115"/>
      <c r="H319" s="115"/>
      <c r="I319" s="115"/>
    </row>
    <row r="320" ht="15.75" customHeight="1">
      <c r="B320" s="114"/>
      <c r="E320" s="114"/>
      <c r="F320" s="115"/>
      <c r="G320" s="115"/>
      <c r="H320" s="115"/>
      <c r="I320" s="115"/>
    </row>
    <row r="321" ht="15.75" customHeight="1">
      <c r="B321" s="114"/>
      <c r="E321" s="114"/>
      <c r="F321" s="115"/>
      <c r="G321" s="115"/>
      <c r="H321" s="115"/>
      <c r="I321" s="115"/>
    </row>
    <row r="322" ht="15.75" customHeight="1">
      <c r="B322" s="114"/>
      <c r="E322" s="114"/>
      <c r="F322" s="115"/>
      <c r="G322" s="115"/>
      <c r="H322" s="115"/>
      <c r="I322" s="115"/>
    </row>
    <row r="323" ht="15.75" customHeight="1">
      <c r="B323" s="114"/>
      <c r="E323" s="114"/>
      <c r="F323" s="115"/>
      <c r="G323" s="115"/>
      <c r="H323" s="115"/>
      <c r="I323" s="115"/>
    </row>
    <row r="324" ht="15.75" customHeight="1">
      <c r="B324" s="114"/>
      <c r="E324" s="114"/>
      <c r="F324" s="115"/>
      <c r="G324" s="115"/>
      <c r="H324" s="115"/>
      <c r="I324" s="115"/>
    </row>
    <row r="325" ht="15.75" customHeight="1">
      <c r="B325" s="114"/>
      <c r="E325" s="114"/>
      <c r="F325" s="115"/>
      <c r="G325" s="115"/>
      <c r="H325" s="115"/>
      <c r="I325" s="115"/>
    </row>
    <row r="326" ht="15.75" customHeight="1">
      <c r="B326" s="114"/>
      <c r="E326" s="114"/>
      <c r="F326" s="115"/>
      <c r="G326" s="115"/>
      <c r="H326" s="115"/>
      <c r="I326" s="115"/>
    </row>
    <row r="327" ht="15.75" customHeight="1">
      <c r="B327" s="114"/>
      <c r="E327" s="114"/>
      <c r="F327" s="115"/>
      <c r="G327" s="115"/>
      <c r="H327" s="115"/>
      <c r="I327" s="115"/>
    </row>
    <row r="328" ht="15.75" customHeight="1">
      <c r="B328" s="114"/>
      <c r="E328" s="114"/>
      <c r="F328" s="115"/>
      <c r="G328" s="115"/>
      <c r="H328" s="115"/>
      <c r="I328" s="115"/>
    </row>
    <row r="329" ht="15.75" customHeight="1">
      <c r="B329" s="114"/>
      <c r="E329" s="114"/>
      <c r="F329" s="115"/>
      <c r="G329" s="115"/>
      <c r="H329" s="115"/>
      <c r="I329" s="115"/>
    </row>
    <row r="330" ht="15.75" customHeight="1">
      <c r="B330" s="114"/>
      <c r="E330" s="114"/>
      <c r="F330" s="115"/>
      <c r="G330" s="115"/>
      <c r="H330" s="115"/>
      <c r="I330" s="115"/>
    </row>
    <row r="331" ht="15.75" customHeight="1">
      <c r="B331" s="114"/>
      <c r="E331" s="114"/>
      <c r="F331" s="115"/>
      <c r="G331" s="115"/>
      <c r="H331" s="115"/>
      <c r="I331" s="115"/>
    </row>
    <row r="332" ht="15.75" customHeight="1">
      <c r="B332" s="114"/>
      <c r="E332" s="114"/>
      <c r="F332" s="115"/>
      <c r="G332" s="115"/>
      <c r="H332" s="115"/>
      <c r="I332" s="115"/>
    </row>
    <row r="333" ht="15.75" customHeight="1">
      <c r="B333" s="114"/>
      <c r="E333" s="114"/>
      <c r="F333" s="115"/>
      <c r="G333" s="115"/>
      <c r="H333" s="115"/>
      <c r="I333" s="115"/>
    </row>
    <row r="334" ht="15.75" customHeight="1">
      <c r="B334" s="114"/>
      <c r="E334" s="114"/>
      <c r="F334" s="115"/>
      <c r="G334" s="115"/>
      <c r="H334" s="115"/>
      <c r="I334" s="115"/>
    </row>
    <row r="335" ht="15.75" customHeight="1">
      <c r="B335" s="114"/>
      <c r="E335" s="114"/>
      <c r="F335" s="115"/>
      <c r="G335" s="115"/>
      <c r="H335" s="115"/>
      <c r="I335" s="115"/>
    </row>
    <row r="336" ht="15.75" customHeight="1">
      <c r="B336" s="114"/>
      <c r="E336" s="114"/>
      <c r="F336" s="115"/>
      <c r="G336" s="115"/>
      <c r="H336" s="115"/>
      <c r="I336" s="115"/>
    </row>
    <row r="337" ht="15.75" customHeight="1">
      <c r="B337" s="114"/>
      <c r="E337" s="114"/>
      <c r="F337" s="115"/>
      <c r="G337" s="115"/>
      <c r="H337" s="115"/>
      <c r="I337" s="115"/>
    </row>
    <row r="338" ht="15.75" customHeight="1">
      <c r="B338" s="114"/>
      <c r="E338" s="114"/>
      <c r="F338" s="115"/>
      <c r="G338" s="115"/>
      <c r="H338" s="115"/>
      <c r="I338" s="115"/>
    </row>
    <row r="339" ht="15.75" customHeight="1">
      <c r="B339" s="114"/>
      <c r="E339" s="114"/>
      <c r="F339" s="115"/>
      <c r="G339" s="115"/>
      <c r="H339" s="115"/>
      <c r="I339" s="115"/>
    </row>
    <row r="340" ht="15.75" customHeight="1">
      <c r="B340" s="114"/>
      <c r="E340" s="114"/>
      <c r="F340" s="115"/>
      <c r="G340" s="115"/>
      <c r="H340" s="115"/>
      <c r="I340" s="115"/>
    </row>
    <row r="341" ht="15.75" customHeight="1">
      <c r="B341" s="114"/>
      <c r="E341" s="114"/>
      <c r="F341" s="115"/>
      <c r="G341" s="115"/>
      <c r="H341" s="115"/>
      <c r="I341" s="115"/>
    </row>
    <row r="342" ht="15.75" customHeight="1">
      <c r="B342" s="114"/>
      <c r="E342" s="114"/>
      <c r="F342" s="115"/>
      <c r="G342" s="115"/>
      <c r="H342" s="115"/>
      <c r="I342" s="115"/>
    </row>
    <row r="343" ht="15.75" customHeight="1">
      <c r="B343" s="114"/>
      <c r="E343" s="114"/>
      <c r="F343" s="115"/>
      <c r="G343" s="115"/>
      <c r="H343" s="115"/>
      <c r="I343" s="115"/>
    </row>
    <row r="344" ht="15.75" customHeight="1">
      <c r="B344" s="114"/>
      <c r="E344" s="114"/>
      <c r="F344" s="115"/>
      <c r="G344" s="115"/>
      <c r="H344" s="115"/>
      <c r="I344" s="115"/>
    </row>
    <row r="345" ht="15.75" customHeight="1">
      <c r="B345" s="114"/>
      <c r="E345" s="114"/>
      <c r="F345" s="115"/>
      <c r="G345" s="115"/>
      <c r="H345" s="115"/>
      <c r="I345" s="115"/>
    </row>
    <row r="346" ht="15.75" customHeight="1">
      <c r="B346" s="114"/>
      <c r="E346" s="114"/>
      <c r="F346" s="115"/>
      <c r="G346" s="115"/>
      <c r="H346" s="115"/>
      <c r="I346" s="115"/>
    </row>
    <row r="347" ht="15.75" customHeight="1">
      <c r="B347" s="114"/>
      <c r="E347" s="114"/>
      <c r="F347" s="115"/>
      <c r="G347" s="115"/>
      <c r="H347" s="115"/>
      <c r="I347" s="115"/>
    </row>
    <row r="348" ht="15.75" customHeight="1">
      <c r="B348" s="114"/>
      <c r="E348" s="114"/>
      <c r="F348" s="115"/>
      <c r="G348" s="115"/>
      <c r="H348" s="115"/>
      <c r="I348" s="115"/>
    </row>
    <row r="349" ht="15.75" customHeight="1">
      <c r="B349" s="114"/>
      <c r="E349" s="114"/>
      <c r="F349" s="115"/>
      <c r="G349" s="115"/>
      <c r="H349" s="115"/>
      <c r="I349" s="115"/>
    </row>
    <row r="350" ht="15.75" customHeight="1">
      <c r="B350" s="114"/>
      <c r="E350" s="114"/>
      <c r="F350" s="115"/>
      <c r="G350" s="115"/>
      <c r="H350" s="115"/>
      <c r="I350" s="115"/>
    </row>
    <row r="351" ht="15.75" customHeight="1">
      <c r="B351" s="114"/>
      <c r="E351" s="114"/>
      <c r="F351" s="115"/>
      <c r="G351" s="115"/>
      <c r="H351" s="115"/>
      <c r="I351" s="115"/>
    </row>
    <row r="352" ht="15.75" customHeight="1">
      <c r="B352" s="114"/>
      <c r="E352" s="114"/>
      <c r="F352" s="115"/>
      <c r="G352" s="115"/>
      <c r="H352" s="115"/>
      <c r="I352" s="115"/>
    </row>
    <row r="353" ht="15.75" customHeight="1">
      <c r="B353" s="114"/>
      <c r="E353" s="114"/>
      <c r="F353" s="115"/>
      <c r="G353" s="115"/>
      <c r="H353" s="115"/>
      <c r="I353" s="115"/>
    </row>
    <row r="354" ht="15.75" customHeight="1">
      <c r="B354" s="114"/>
      <c r="E354" s="114"/>
      <c r="F354" s="115"/>
      <c r="G354" s="115"/>
      <c r="H354" s="115"/>
      <c r="I354" s="115"/>
    </row>
    <row r="355" ht="15.75" customHeight="1">
      <c r="B355" s="114"/>
      <c r="E355" s="114"/>
      <c r="F355" s="115"/>
      <c r="G355" s="115"/>
      <c r="H355" s="115"/>
      <c r="I355" s="115"/>
    </row>
    <row r="356" ht="15.75" customHeight="1">
      <c r="B356" s="114"/>
      <c r="E356" s="114"/>
      <c r="F356" s="115"/>
      <c r="G356" s="115"/>
      <c r="H356" s="115"/>
      <c r="I356" s="115"/>
    </row>
    <row r="357" ht="15.75" customHeight="1">
      <c r="B357" s="114"/>
      <c r="E357" s="114"/>
      <c r="F357" s="115"/>
      <c r="G357" s="115"/>
      <c r="H357" s="115"/>
      <c r="I357" s="115"/>
    </row>
    <row r="358" ht="15.75" customHeight="1">
      <c r="B358" s="114"/>
      <c r="E358" s="114"/>
      <c r="F358" s="115"/>
      <c r="G358" s="115"/>
      <c r="H358" s="115"/>
      <c r="I358" s="115"/>
    </row>
    <row r="359" ht="15.75" customHeight="1">
      <c r="B359" s="114"/>
      <c r="E359" s="114"/>
      <c r="F359" s="115"/>
      <c r="G359" s="115"/>
      <c r="H359" s="115"/>
      <c r="I359" s="115"/>
    </row>
    <row r="360" ht="15.75" customHeight="1">
      <c r="B360" s="114"/>
      <c r="E360" s="114"/>
      <c r="F360" s="115"/>
      <c r="G360" s="115"/>
      <c r="H360" s="115"/>
      <c r="I360" s="115"/>
    </row>
    <row r="361" ht="15.75" customHeight="1">
      <c r="B361" s="114"/>
      <c r="E361" s="114"/>
      <c r="F361" s="115"/>
      <c r="G361" s="115"/>
      <c r="H361" s="115"/>
      <c r="I361" s="115"/>
    </row>
    <row r="362" ht="15.75" customHeight="1">
      <c r="B362" s="114"/>
      <c r="E362" s="114"/>
      <c r="F362" s="115"/>
      <c r="G362" s="115"/>
      <c r="H362" s="115"/>
      <c r="I362" s="115"/>
    </row>
    <row r="363" ht="15.75" customHeight="1">
      <c r="B363" s="114"/>
      <c r="E363" s="114"/>
      <c r="F363" s="115"/>
      <c r="G363" s="115"/>
      <c r="H363" s="115"/>
      <c r="I363" s="115"/>
    </row>
    <row r="364" ht="15.75" customHeight="1">
      <c r="B364" s="114"/>
      <c r="E364" s="114"/>
      <c r="F364" s="115"/>
      <c r="G364" s="115"/>
      <c r="H364" s="115"/>
      <c r="I364" s="115"/>
    </row>
    <row r="365" ht="15.75" customHeight="1">
      <c r="B365" s="114"/>
      <c r="E365" s="114"/>
      <c r="F365" s="115"/>
      <c r="G365" s="115"/>
      <c r="H365" s="115"/>
      <c r="I365" s="115"/>
    </row>
    <row r="366" ht="15.75" customHeight="1">
      <c r="B366" s="114"/>
      <c r="E366" s="114"/>
      <c r="F366" s="115"/>
      <c r="G366" s="115"/>
      <c r="H366" s="115"/>
      <c r="I366" s="115"/>
    </row>
    <row r="367" ht="15.75" customHeight="1">
      <c r="B367" s="114"/>
      <c r="E367" s="114"/>
      <c r="F367" s="115"/>
      <c r="G367" s="115"/>
      <c r="H367" s="115"/>
      <c r="I367" s="115"/>
    </row>
    <row r="368" ht="15.75" customHeight="1">
      <c r="B368" s="114"/>
      <c r="E368" s="114"/>
      <c r="F368" s="115"/>
      <c r="G368" s="115"/>
      <c r="H368" s="115"/>
      <c r="I368" s="115"/>
    </row>
    <row r="369" ht="15.75" customHeight="1">
      <c r="B369" s="114"/>
      <c r="E369" s="114"/>
      <c r="F369" s="115"/>
      <c r="G369" s="115"/>
      <c r="H369" s="115"/>
      <c r="I369" s="115"/>
    </row>
    <row r="370" ht="15.75" customHeight="1">
      <c r="B370" s="114"/>
      <c r="E370" s="114"/>
      <c r="F370" s="115"/>
      <c r="G370" s="115"/>
      <c r="H370" s="115"/>
      <c r="I370" s="115"/>
    </row>
    <row r="371" ht="15.75" customHeight="1">
      <c r="B371" s="114"/>
      <c r="E371" s="114"/>
      <c r="F371" s="115"/>
      <c r="G371" s="115"/>
      <c r="H371" s="115"/>
      <c r="I371" s="115"/>
    </row>
    <row r="372" ht="15.75" customHeight="1">
      <c r="B372" s="114"/>
      <c r="E372" s="114"/>
      <c r="F372" s="115"/>
      <c r="G372" s="115"/>
      <c r="H372" s="115"/>
      <c r="I372" s="115"/>
    </row>
    <row r="373" ht="15.75" customHeight="1">
      <c r="B373" s="114"/>
      <c r="E373" s="114"/>
      <c r="F373" s="115"/>
      <c r="G373" s="115"/>
      <c r="H373" s="115"/>
      <c r="I373" s="115"/>
    </row>
    <row r="374" ht="15.75" customHeight="1">
      <c r="B374" s="114"/>
      <c r="E374" s="114"/>
      <c r="F374" s="115"/>
      <c r="G374" s="115"/>
      <c r="H374" s="115"/>
      <c r="I374" s="115"/>
    </row>
    <row r="375" ht="15.75" customHeight="1">
      <c r="B375" s="114"/>
      <c r="E375" s="114"/>
      <c r="F375" s="115"/>
      <c r="G375" s="115"/>
      <c r="H375" s="115"/>
      <c r="I375" s="115"/>
    </row>
    <row r="376" ht="15.75" customHeight="1">
      <c r="B376" s="114"/>
      <c r="E376" s="114"/>
      <c r="F376" s="115"/>
      <c r="G376" s="115"/>
      <c r="H376" s="115"/>
      <c r="I376" s="115"/>
    </row>
    <row r="377" ht="15.75" customHeight="1">
      <c r="B377" s="114"/>
      <c r="E377" s="114"/>
      <c r="F377" s="115"/>
      <c r="G377" s="115"/>
      <c r="H377" s="115"/>
      <c r="I377" s="115"/>
    </row>
    <row r="378" ht="15.75" customHeight="1">
      <c r="B378" s="114"/>
      <c r="E378" s="114"/>
      <c r="F378" s="115"/>
      <c r="G378" s="115"/>
      <c r="H378" s="115"/>
      <c r="I378" s="115"/>
    </row>
    <row r="379" ht="15.75" customHeight="1">
      <c r="B379" s="114"/>
      <c r="E379" s="114"/>
      <c r="F379" s="115"/>
      <c r="G379" s="115"/>
      <c r="H379" s="115"/>
      <c r="I379" s="115"/>
    </row>
    <row r="380" ht="15.75" customHeight="1">
      <c r="B380" s="114"/>
      <c r="E380" s="114"/>
      <c r="F380" s="115"/>
      <c r="G380" s="115"/>
      <c r="H380" s="115"/>
      <c r="I380" s="115"/>
    </row>
    <row r="381" ht="15.75" customHeight="1">
      <c r="B381" s="114"/>
      <c r="E381" s="114"/>
      <c r="F381" s="115"/>
      <c r="G381" s="115"/>
      <c r="H381" s="115"/>
      <c r="I381" s="115"/>
    </row>
    <row r="382" ht="15.75" customHeight="1">
      <c r="B382" s="114"/>
      <c r="E382" s="114"/>
      <c r="F382" s="115"/>
      <c r="G382" s="115"/>
      <c r="H382" s="115"/>
      <c r="I382" s="115"/>
    </row>
    <row r="383" ht="15.75" customHeight="1">
      <c r="B383" s="114"/>
      <c r="E383" s="114"/>
      <c r="F383" s="115"/>
      <c r="G383" s="115"/>
      <c r="H383" s="115"/>
      <c r="I383" s="115"/>
    </row>
    <row r="384" ht="15.75" customHeight="1">
      <c r="B384" s="114"/>
      <c r="E384" s="114"/>
      <c r="F384" s="115"/>
      <c r="G384" s="115"/>
      <c r="H384" s="115"/>
      <c r="I384" s="115"/>
    </row>
    <row r="385" ht="15.75" customHeight="1">
      <c r="B385" s="114"/>
      <c r="E385" s="114"/>
      <c r="F385" s="115"/>
      <c r="G385" s="115"/>
      <c r="H385" s="115"/>
      <c r="I385" s="115"/>
    </row>
    <row r="386" ht="15.75" customHeight="1">
      <c r="B386" s="114"/>
      <c r="E386" s="114"/>
      <c r="F386" s="115"/>
      <c r="G386" s="115"/>
      <c r="H386" s="115"/>
      <c r="I386" s="115"/>
    </row>
    <row r="387" ht="15.75" customHeight="1">
      <c r="B387" s="114"/>
      <c r="E387" s="114"/>
      <c r="F387" s="115"/>
      <c r="G387" s="115"/>
      <c r="H387" s="115"/>
      <c r="I387" s="115"/>
    </row>
    <row r="388" ht="15.75" customHeight="1">
      <c r="B388" s="114"/>
      <c r="E388" s="114"/>
      <c r="F388" s="115"/>
      <c r="G388" s="115"/>
      <c r="H388" s="115"/>
      <c r="I388" s="115"/>
    </row>
    <row r="389" ht="15.75" customHeight="1">
      <c r="B389" s="114"/>
      <c r="E389" s="114"/>
      <c r="F389" s="115"/>
      <c r="G389" s="115"/>
      <c r="H389" s="115"/>
      <c r="I389" s="115"/>
    </row>
    <row r="390" ht="15.75" customHeight="1">
      <c r="B390" s="114"/>
      <c r="E390" s="114"/>
      <c r="F390" s="115"/>
      <c r="G390" s="115"/>
      <c r="H390" s="115"/>
      <c r="I390" s="115"/>
    </row>
    <row r="391" ht="15.75" customHeight="1">
      <c r="B391" s="114"/>
      <c r="E391" s="114"/>
      <c r="F391" s="115"/>
      <c r="G391" s="115"/>
      <c r="H391" s="115"/>
      <c r="I391" s="115"/>
    </row>
    <row r="392" ht="15.75" customHeight="1">
      <c r="B392" s="114"/>
      <c r="E392" s="114"/>
      <c r="F392" s="115"/>
      <c r="G392" s="115"/>
      <c r="H392" s="115"/>
      <c r="I392" s="115"/>
    </row>
    <row r="393" ht="15.75" customHeight="1">
      <c r="B393" s="114"/>
      <c r="E393" s="114"/>
      <c r="F393" s="115"/>
      <c r="G393" s="115"/>
      <c r="H393" s="115"/>
      <c r="I393" s="115"/>
    </row>
    <row r="394" ht="15.75" customHeight="1">
      <c r="B394" s="114"/>
      <c r="E394" s="114"/>
      <c r="F394" s="115"/>
      <c r="G394" s="115"/>
      <c r="H394" s="115"/>
      <c r="I394" s="115"/>
    </row>
    <row r="395" ht="15.75" customHeight="1">
      <c r="B395" s="114"/>
      <c r="E395" s="114"/>
      <c r="F395" s="115"/>
      <c r="G395" s="115"/>
      <c r="H395" s="115"/>
      <c r="I395" s="115"/>
    </row>
    <row r="396" ht="15.75" customHeight="1">
      <c r="B396" s="114"/>
      <c r="E396" s="114"/>
      <c r="F396" s="115"/>
      <c r="G396" s="115"/>
      <c r="H396" s="115"/>
      <c r="I396" s="115"/>
    </row>
    <row r="397" ht="15.75" customHeight="1">
      <c r="B397" s="114"/>
      <c r="E397" s="114"/>
      <c r="F397" s="115"/>
      <c r="G397" s="115"/>
      <c r="H397" s="115"/>
      <c r="I397" s="115"/>
    </row>
    <row r="398" ht="15.75" customHeight="1">
      <c r="B398" s="114"/>
      <c r="E398" s="114"/>
      <c r="F398" s="115"/>
      <c r="G398" s="115"/>
      <c r="H398" s="115"/>
      <c r="I398" s="115"/>
    </row>
    <row r="399" ht="15.75" customHeight="1">
      <c r="B399" s="114"/>
      <c r="E399" s="114"/>
      <c r="F399" s="115"/>
      <c r="G399" s="115"/>
      <c r="H399" s="115"/>
      <c r="I399" s="115"/>
    </row>
    <row r="400" ht="15.75" customHeight="1">
      <c r="B400" s="114"/>
      <c r="E400" s="114"/>
      <c r="F400" s="115"/>
      <c r="G400" s="115"/>
      <c r="H400" s="115"/>
      <c r="I400" s="115"/>
    </row>
    <row r="401" ht="15.75" customHeight="1">
      <c r="B401" s="114"/>
      <c r="E401" s="114"/>
      <c r="F401" s="115"/>
      <c r="G401" s="115"/>
      <c r="H401" s="115"/>
      <c r="I401" s="115"/>
    </row>
    <row r="402" ht="15.75" customHeight="1">
      <c r="B402" s="114"/>
      <c r="E402" s="114"/>
      <c r="F402" s="115"/>
      <c r="G402" s="115"/>
      <c r="H402" s="115"/>
      <c r="I402" s="115"/>
    </row>
    <row r="403" ht="15.75" customHeight="1">
      <c r="B403" s="114"/>
      <c r="E403" s="114"/>
      <c r="F403" s="115"/>
      <c r="G403" s="115"/>
      <c r="H403" s="115"/>
      <c r="I403" s="115"/>
    </row>
    <row r="404" ht="15.75" customHeight="1">
      <c r="B404" s="114"/>
      <c r="E404" s="114"/>
      <c r="F404" s="115"/>
      <c r="G404" s="115"/>
      <c r="H404" s="115"/>
      <c r="I404" s="115"/>
    </row>
    <row r="405" ht="15.75" customHeight="1">
      <c r="B405" s="114"/>
      <c r="E405" s="114"/>
      <c r="F405" s="115"/>
      <c r="G405" s="115"/>
      <c r="H405" s="115"/>
      <c r="I405" s="115"/>
    </row>
    <row r="406" ht="15.75" customHeight="1">
      <c r="B406" s="114"/>
      <c r="E406" s="114"/>
      <c r="F406" s="115"/>
      <c r="G406" s="115"/>
      <c r="H406" s="115"/>
      <c r="I406" s="115"/>
    </row>
    <row r="407" ht="15.75" customHeight="1">
      <c r="B407" s="114"/>
      <c r="E407" s="114"/>
      <c r="F407" s="115"/>
      <c r="G407" s="115"/>
      <c r="H407" s="115"/>
      <c r="I407" s="115"/>
    </row>
    <row r="408" ht="15.75" customHeight="1">
      <c r="B408" s="114"/>
      <c r="E408" s="114"/>
      <c r="F408" s="115"/>
      <c r="G408" s="115"/>
      <c r="H408" s="115"/>
      <c r="I408" s="115"/>
    </row>
    <row r="409" ht="15.75" customHeight="1">
      <c r="B409" s="114"/>
      <c r="E409" s="114"/>
      <c r="F409" s="115"/>
      <c r="G409" s="115"/>
      <c r="H409" s="115"/>
      <c r="I409" s="115"/>
    </row>
    <row r="410" ht="15.75" customHeight="1">
      <c r="B410" s="114"/>
      <c r="E410" s="114"/>
      <c r="F410" s="115"/>
      <c r="G410" s="115"/>
      <c r="H410" s="115"/>
      <c r="I410" s="115"/>
    </row>
    <row r="411" ht="15.75" customHeight="1">
      <c r="B411" s="114"/>
      <c r="E411" s="114"/>
      <c r="F411" s="115"/>
      <c r="G411" s="115"/>
      <c r="H411" s="115"/>
      <c r="I411" s="115"/>
    </row>
    <row r="412" ht="15.75" customHeight="1">
      <c r="B412" s="114"/>
      <c r="E412" s="114"/>
      <c r="F412" s="115"/>
      <c r="G412" s="115"/>
      <c r="H412" s="115"/>
      <c r="I412" s="115"/>
    </row>
    <row r="413" ht="15.75" customHeight="1">
      <c r="B413" s="114"/>
      <c r="E413" s="114"/>
      <c r="F413" s="115"/>
      <c r="G413" s="115"/>
      <c r="H413" s="115"/>
      <c r="I413" s="115"/>
    </row>
    <row r="414" ht="15.75" customHeight="1">
      <c r="B414" s="114"/>
      <c r="E414" s="114"/>
      <c r="F414" s="115"/>
      <c r="G414" s="115"/>
      <c r="H414" s="115"/>
      <c r="I414" s="115"/>
    </row>
    <row r="415" ht="15.75" customHeight="1">
      <c r="B415" s="114"/>
      <c r="E415" s="114"/>
      <c r="F415" s="115"/>
      <c r="G415" s="115"/>
      <c r="H415" s="115"/>
      <c r="I415" s="115"/>
    </row>
    <row r="416" ht="15.75" customHeight="1">
      <c r="B416" s="114"/>
      <c r="E416" s="114"/>
      <c r="F416" s="115"/>
      <c r="G416" s="115"/>
      <c r="H416" s="115"/>
      <c r="I416" s="115"/>
    </row>
    <row r="417" ht="15.75" customHeight="1">
      <c r="B417" s="114"/>
      <c r="E417" s="114"/>
      <c r="F417" s="115"/>
      <c r="G417" s="115"/>
      <c r="H417" s="115"/>
      <c r="I417" s="115"/>
    </row>
    <row r="418" ht="15.75" customHeight="1">
      <c r="B418" s="114"/>
      <c r="E418" s="114"/>
      <c r="F418" s="115"/>
      <c r="G418" s="115"/>
      <c r="H418" s="115"/>
      <c r="I418" s="115"/>
    </row>
    <row r="419" ht="15.75" customHeight="1">
      <c r="B419" s="114"/>
      <c r="E419" s="114"/>
      <c r="F419" s="115"/>
      <c r="G419" s="115"/>
      <c r="H419" s="115"/>
      <c r="I419" s="115"/>
    </row>
    <row r="420" ht="15.75" customHeight="1">
      <c r="B420" s="114"/>
      <c r="E420" s="114"/>
      <c r="F420" s="115"/>
      <c r="G420" s="115"/>
      <c r="H420" s="115"/>
      <c r="I420" s="115"/>
    </row>
    <row r="421" ht="15.75" customHeight="1">
      <c r="B421" s="114"/>
      <c r="E421" s="114"/>
      <c r="F421" s="115"/>
      <c r="G421" s="115"/>
      <c r="H421" s="115"/>
      <c r="I421" s="115"/>
    </row>
    <row r="422" ht="15.75" customHeight="1">
      <c r="B422" s="114"/>
      <c r="E422" s="114"/>
      <c r="F422" s="115"/>
      <c r="G422" s="115"/>
      <c r="H422" s="115"/>
      <c r="I422" s="115"/>
    </row>
    <row r="423" ht="15.75" customHeight="1">
      <c r="B423" s="114"/>
      <c r="E423" s="114"/>
      <c r="F423" s="115"/>
      <c r="G423" s="115"/>
      <c r="H423" s="115"/>
      <c r="I423" s="115"/>
    </row>
    <row r="424" ht="15.75" customHeight="1">
      <c r="B424" s="114"/>
      <c r="E424" s="114"/>
      <c r="F424" s="115"/>
      <c r="G424" s="115"/>
      <c r="H424" s="115"/>
      <c r="I424" s="115"/>
    </row>
    <row r="425" ht="15.75" customHeight="1">
      <c r="B425" s="114"/>
      <c r="E425" s="114"/>
      <c r="F425" s="115"/>
      <c r="G425" s="115"/>
      <c r="H425" s="115"/>
      <c r="I425" s="115"/>
    </row>
    <row r="426" ht="15.75" customHeight="1">
      <c r="B426" s="114"/>
      <c r="E426" s="114"/>
      <c r="F426" s="115"/>
      <c r="G426" s="115"/>
      <c r="H426" s="115"/>
      <c r="I426" s="115"/>
    </row>
    <row r="427" ht="15.75" customHeight="1">
      <c r="B427" s="114"/>
      <c r="E427" s="114"/>
      <c r="F427" s="115"/>
      <c r="G427" s="115"/>
      <c r="H427" s="115"/>
      <c r="I427" s="115"/>
    </row>
    <row r="428" ht="15.75" customHeight="1">
      <c r="B428" s="114"/>
      <c r="E428" s="114"/>
      <c r="F428" s="115"/>
      <c r="G428" s="115"/>
      <c r="H428" s="115"/>
      <c r="I428" s="115"/>
    </row>
    <row r="429" ht="15.75" customHeight="1">
      <c r="B429" s="114"/>
      <c r="E429" s="114"/>
      <c r="F429" s="115"/>
      <c r="G429" s="115"/>
      <c r="H429" s="115"/>
      <c r="I429" s="115"/>
    </row>
    <row r="430" ht="15.75" customHeight="1">
      <c r="B430" s="114"/>
      <c r="E430" s="114"/>
      <c r="F430" s="115"/>
      <c r="G430" s="115"/>
      <c r="H430" s="115"/>
      <c r="I430" s="115"/>
    </row>
    <row r="431" ht="15.75" customHeight="1">
      <c r="B431" s="114"/>
      <c r="E431" s="114"/>
      <c r="F431" s="115"/>
      <c r="G431" s="115"/>
      <c r="H431" s="115"/>
      <c r="I431" s="115"/>
    </row>
    <row r="432" ht="15.75" customHeight="1">
      <c r="B432" s="114"/>
      <c r="E432" s="114"/>
      <c r="F432" s="115"/>
      <c r="G432" s="115"/>
      <c r="H432" s="115"/>
      <c r="I432" s="115"/>
    </row>
    <row r="433" ht="15.75" customHeight="1">
      <c r="B433" s="114"/>
      <c r="E433" s="114"/>
      <c r="F433" s="115"/>
      <c r="G433" s="115"/>
      <c r="H433" s="115"/>
      <c r="I433" s="115"/>
    </row>
    <row r="434" ht="15.75" customHeight="1">
      <c r="B434" s="114"/>
      <c r="E434" s="114"/>
      <c r="F434" s="115"/>
      <c r="G434" s="115"/>
      <c r="H434" s="115"/>
      <c r="I434" s="115"/>
    </row>
    <row r="435" ht="15.75" customHeight="1">
      <c r="B435" s="114"/>
      <c r="E435" s="114"/>
      <c r="F435" s="115"/>
      <c r="G435" s="115"/>
      <c r="H435" s="115"/>
      <c r="I435" s="115"/>
    </row>
    <row r="436" ht="15.75" customHeight="1">
      <c r="B436" s="114"/>
      <c r="E436" s="114"/>
      <c r="F436" s="115"/>
      <c r="G436" s="115"/>
      <c r="H436" s="115"/>
      <c r="I436" s="115"/>
    </row>
    <row r="437" ht="15.75" customHeight="1">
      <c r="B437" s="114"/>
      <c r="E437" s="114"/>
      <c r="F437" s="115"/>
      <c r="G437" s="115"/>
      <c r="H437" s="115"/>
      <c r="I437" s="115"/>
    </row>
    <row r="438" ht="15.75" customHeight="1">
      <c r="B438" s="114"/>
      <c r="E438" s="114"/>
      <c r="F438" s="115"/>
      <c r="G438" s="115"/>
      <c r="H438" s="115"/>
      <c r="I438" s="115"/>
    </row>
    <row r="439" ht="15.75" customHeight="1">
      <c r="B439" s="114"/>
      <c r="E439" s="114"/>
      <c r="F439" s="115"/>
      <c r="G439" s="115"/>
      <c r="H439" s="115"/>
      <c r="I439" s="115"/>
    </row>
    <row r="440" ht="15.75" customHeight="1">
      <c r="B440" s="114"/>
      <c r="E440" s="114"/>
      <c r="F440" s="115"/>
      <c r="G440" s="115"/>
      <c r="H440" s="115"/>
      <c r="I440" s="115"/>
    </row>
    <row r="441" ht="15.75" customHeight="1">
      <c r="B441" s="114"/>
      <c r="E441" s="114"/>
      <c r="F441" s="115"/>
      <c r="G441" s="115"/>
      <c r="H441" s="115"/>
      <c r="I441" s="115"/>
    </row>
    <row r="442" ht="15.75" customHeight="1">
      <c r="B442" s="114"/>
      <c r="E442" s="114"/>
      <c r="F442" s="115"/>
      <c r="G442" s="115"/>
      <c r="H442" s="115"/>
      <c r="I442" s="115"/>
    </row>
    <row r="443" ht="15.75" customHeight="1">
      <c r="B443" s="114"/>
      <c r="E443" s="114"/>
      <c r="F443" s="115"/>
      <c r="G443" s="115"/>
      <c r="H443" s="115"/>
      <c r="I443" s="115"/>
    </row>
    <row r="444" ht="15.75" customHeight="1">
      <c r="B444" s="114"/>
      <c r="E444" s="114"/>
      <c r="F444" s="115"/>
      <c r="G444" s="115"/>
      <c r="H444" s="115"/>
      <c r="I444" s="115"/>
    </row>
    <row r="445" ht="15.75" customHeight="1">
      <c r="B445" s="114"/>
      <c r="E445" s="114"/>
      <c r="F445" s="115"/>
      <c r="G445" s="115"/>
      <c r="H445" s="115"/>
      <c r="I445" s="115"/>
    </row>
    <row r="446" ht="15.75" customHeight="1">
      <c r="B446" s="114"/>
      <c r="E446" s="114"/>
      <c r="F446" s="115"/>
      <c r="G446" s="115"/>
      <c r="H446" s="115"/>
      <c r="I446" s="115"/>
    </row>
    <row r="447" ht="15.75" customHeight="1">
      <c r="B447" s="114"/>
      <c r="E447" s="114"/>
      <c r="F447" s="115"/>
      <c r="G447" s="115"/>
      <c r="H447" s="115"/>
      <c r="I447" s="115"/>
    </row>
    <row r="448" ht="15.75" customHeight="1">
      <c r="B448" s="114"/>
      <c r="E448" s="114"/>
      <c r="F448" s="115"/>
      <c r="G448" s="115"/>
      <c r="H448" s="115"/>
      <c r="I448" s="115"/>
    </row>
    <row r="449" ht="15.75" customHeight="1">
      <c r="B449" s="114"/>
      <c r="E449" s="114"/>
      <c r="F449" s="115"/>
      <c r="G449" s="115"/>
      <c r="H449" s="115"/>
      <c r="I449" s="115"/>
    </row>
    <row r="450" ht="15.75" customHeight="1">
      <c r="B450" s="114"/>
      <c r="E450" s="114"/>
      <c r="F450" s="115"/>
      <c r="G450" s="115"/>
      <c r="H450" s="115"/>
      <c r="I450" s="115"/>
    </row>
    <row r="451" ht="15.75" customHeight="1">
      <c r="B451" s="114"/>
      <c r="E451" s="114"/>
      <c r="F451" s="115"/>
      <c r="G451" s="115"/>
      <c r="H451" s="115"/>
      <c r="I451" s="115"/>
    </row>
    <row r="452" ht="15.75" customHeight="1">
      <c r="B452" s="114"/>
      <c r="E452" s="114"/>
      <c r="F452" s="115"/>
      <c r="G452" s="115"/>
      <c r="H452" s="115"/>
      <c r="I452" s="115"/>
    </row>
    <row r="453" ht="15.75" customHeight="1">
      <c r="B453" s="114"/>
      <c r="E453" s="114"/>
      <c r="F453" s="115"/>
      <c r="G453" s="115"/>
      <c r="H453" s="115"/>
      <c r="I453" s="115"/>
    </row>
    <row r="454" ht="15.75" customHeight="1">
      <c r="B454" s="114"/>
      <c r="E454" s="114"/>
      <c r="F454" s="115"/>
      <c r="G454" s="115"/>
      <c r="H454" s="115"/>
      <c r="I454" s="115"/>
    </row>
    <row r="455" ht="15.75" customHeight="1">
      <c r="B455" s="114"/>
      <c r="E455" s="114"/>
      <c r="F455" s="115"/>
      <c r="G455" s="115"/>
      <c r="H455" s="115"/>
      <c r="I455" s="115"/>
    </row>
    <row r="456" ht="15.75" customHeight="1">
      <c r="B456" s="114"/>
      <c r="E456" s="114"/>
      <c r="F456" s="115"/>
      <c r="G456" s="115"/>
      <c r="H456" s="115"/>
      <c r="I456" s="115"/>
    </row>
    <row r="457" ht="15.75" customHeight="1">
      <c r="B457" s="114"/>
      <c r="E457" s="114"/>
      <c r="F457" s="115"/>
      <c r="G457" s="115"/>
      <c r="H457" s="115"/>
      <c r="I457" s="115"/>
    </row>
    <row r="458" ht="15.75" customHeight="1">
      <c r="B458" s="114"/>
      <c r="E458" s="114"/>
      <c r="F458" s="115"/>
      <c r="G458" s="115"/>
      <c r="H458" s="115"/>
      <c r="I458" s="115"/>
    </row>
    <row r="459" ht="15.75" customHeight="1">
      <c r="B459" s="114"/>
      <c r="E459" s="114"/>
      <c r="F459" s="115"/>
      <c r="G459" s="115"/>
      <c r="H459" s="115"/>
      <c r="I459" s="115"/>
    </row>
    <row r="460" ht="15.75" customHeight="1">
      <c r="B460" s="114"/>
      <c r="E460" s="114"/>
      <c r="F460" s="115"/>
      <c r="G460" s="115"/>
      <c r="H460" s="115"/>
      <c r="I460" s="115"/>
    </row>
    <row r="461" ht="15.75" customHeight="1">
      <c r="B461" s="114"/>
      <c r="E461" s="114"/>
      <c r="F461" s="115"/>
      <c r="G461" s="115"/>
      <c r="H461" s="115"/>
      <c r="I461" s="115"/>
    </row>
    <row r="462" ht="15.75" customHeight="1">
      <c r="B462" s="114"/>
      <c r="E462" s="114"/>
      <c r="F462" s="115"/>
      <c r="G462" s="115"/>
      <c r="H462" s="115"/>
      <c r="I462" s="115"/>
    </row>
    <row r="463" ht="15.75" customHeight="1">
      <c r="B463" s="114"/>
      <c r="E463" s="114"/>
      <c r="F463" s="115"/>
      <c r="G463" s="115"/>
      <c r="H463" s="115"/>
      <c r="I463" s="115"/>
    </row>
    <row r="464" ht="15.75" customHeight="1">
      <c r="B464" s="114"/>
      <c r="E464" s="114"/>
      <c r="F464" s="115"/>
      <c r="G464" s="115"/>
      <c r="H464" s="115"/>
      <c r="I464" s="115"/>
    </row>
    <row r="465" ht="15.75" customHeight="1">
      <c r="B465" s="114"/>
      <c r="E465" s="114"/>
      <c r="F465" s="115"/>
      <c r="G465" s="115"/>
      <c r="H465" s="115"/>
      <c r="I465" s="115"/>
    </row>
    <row r="466" ht="15.75" customHeight="1">
      <c r="B466" s="114"/>
      <c r="E466" s="114"/>
      <c r="F466" s="115"/>
      <c r="G466" s="115"/>
      <c r="H466" s="115"/>
      <c r="I466" s="115"/>
    </row>
    <row r="467" ht="15.75" customHeight="1">
      <c r="B467" s="114"/>
      <c r="E467" s="114"/>
      <c r="F467" s="115"/>
      <c r="G467" s="115"/>
      <c r="H467" s="115"/>
      <c r="I467" s="115"/>
    </row>
    <row r="468" ht="15.75" customHeight="1">
      <c r="B468" s="114"/>
      <c r="E468" s="114"/>
      <c r="F468" s="115"/>
      <c r="G468" s="115"/>
      <c r="H468" s="115"/>
      <c r="I468" s="115"/>
    </row>
    <row r="469" ht="15.75" customHeight="1">
      <c r="B469" s="114"/>
      <c r="E469" s="114"/>
      <c r="F469" s="115"/>
      <c r="G469" s="115"/>
      <c r="H469" s="115"/>
      <c r="I469" s="115"/>
    </row>
    <row r="470" ht="15.75" customHeight="1">
      <c r="B470" s="114"/>
      <c r="E470" s="114"/>
      <c r="F470" s="115"/>
      <c r="G470" s="115"/>
      <c r="H470" s="115"/>
      <c r="I470" s="115"/>
    </row>
    <row r="471" ht="15.75" customHeight="1">
      <c r="B471" s="114"/>
      <c r="E471" s="114"/>
      <c r="F471" s="115"/>
      <c r="G471" s="115"/>
      <c r="H471" s="115"/>
      <c r="I471" s="115"/>
    </row>
    <row r="472" ht="15.75" customHeight="1">
      <c r="B472" s="114"/>
      <c r="E472" s="114"/>
      <c r="F472" s="115"/>
      <c r="G472" s="115"/>
      <c r="H472" s="115"/>
      <c r="I472" s="115"/>
    </row>
    <row r="473" ht="15.75" customHeight="1">
      <c r="B473" s="114"/>
      <c r="E473" s="114"/>
      <c r="F473" s="115"/>
      <c r="G473" s="115"/>
      <c r="H473" s="115"/>
      <c r="I473" s="115"/>
    </row>
    <row r="474" ht="15.75" customHeight="1">
      <c r="B474" s="114"/>
      <c r="E474" s="114"/>
      <c r="F474" s="115"/>
      <c r="G474" s="115"/>
      <c r="H474" s="115"/>
      <c r="I474" s="115"/>
    </row>
    <row r="475" ht="15.75" customHeight="1">
      <c r="B475" s="114"/>
      <c r="E475" s="114"/>
      <c r="F475" s="115"/>
      <c r="G475" s="115"/>
      <c r="H475" s="115"/>
      <c r="I475" s="115"/>
    </row>
    <row r="476" ht="15.75" customHeight="1">
      <c r="B476" s="114"/>
      <c r="E476" s="114"/>
      <c r="F476" s="115"/>
      <c r="G476" s="115"/>
      <c r="H476" s="115"/>
      <c r="I476" s="115"/>
    </row>
    <row r="477" ht="15.75" customHeight="1">
      <c r="B477" s="114"/>
      <c r="E477" s="114"/>
      <c r="F477" s="115"/>
      <c r="G477" s="115"/>
      <c r="H477" s="115"/>
      <c r="I477" s="115"/>
    </row>
    <row r="478" ht="15.75" customHeight="1">
      <c r="B478" s="114"/>
      <c r="E478" s="114"/>
      <c r="F478" s="115"/>
      <c r="G478" s="115"/>
      <c r="H478" s="115"/>
      <c r="I478" s="115"/>
    </row>
    <row r="479" ht="15.75" customHeight="1">
      <c r="B479" s="114"/>
      <c r="E479" s="114"/>
      <c r="F479" s="115"/>
      <c r="G479" s="115"/>
      <c r="H479" s="115"/>
      <c r="I479" s="115"/>
    </row>
    <row r="480" ht="15.75" customHeight="1">
      <c r="B480" s="114"/>
      <c r="E480" s="114"/>
      <c r="F480" s="115"/>
      <c r="G480" s="115"/>
      <c r="H480" s="115"/>
      <c r="I480" s="115"/>
    </row>
    <row r="481" ht="15.75" customHeight="1">
      <c r="B481" s="114"/>
      <c r="E481" s="114"/>
      <c r="F481" s="115"/>
      <c r="G481" s="115"/>
      <c r="H481" s="115"/>
      <c r="I481" s="115"/>
    </row>
    <row r="482" ht="15.75" customHeight="1">
      <c r="B482" s="114"/>
      <c r="E482" s="114"/>
      <c r="F482" s="115"/>
      <c r="G482" s="115"/>
      <c r="H482" s="115"/>
      <c r="I482" s="115"/>
    </row>
    <row r="483" ht="15.75" customHeight="1">
      <c r="B483" s="114"/>
      <c r="E483" s="114"/>
      <c r="F483" s="115"/>
      <c r="G483" s="115"/>
      <c r="H483" s="115"/>
      <c r="I483" s="115"/>
    </row>
    <row r="484" ht="15.75" customHeight="1">
      <c r="B484" s="114"/>
      <c r="E484" s="114"/>
      <c r="F484" s="115"/>
      <c r="G484" s="115"/>
      <c r="H484" s="115"/>
      <c r="I484" s="115"/>
    </row>
    <row r="485" ht="15.75" customHeight="1">
      <c r="B485" s="114"/>
      <c r="E485" s="114"/>
      <c r="F485" s="115"/>
      <c r="G485" s="115"/>
      <c r="H485" s="115"/>
      <c r="I485" s="115"/>
    </row>
    <row r="486" ht="15.75" customHeight="1">
      <c r="B486" s="114"/>
      <c r="E486" s="114"/>
      <c r="F486" s="115"/>
      <c r="G486" s="115"/>
      <c r="H486" s="115"/>
      <c r="I486" s="115"/>
    </row>
    <row r="487" ht="15.75" customHeight="1">
      <c r="B487" s="114"/>
      <c r="E487" s="114"/>
      <c r="F487" s="115"/>
      <c r="G487" s="115"/>
      <c r="H487" s="115"/>
      <c r="I487" s="115"/>
    </row>
    <row r="488" ht="15.75" customHeight="1">
      <c r="B488" s="114"/>
      <c r="E488" s="114"/>
      <c r="F488" s="115"/>
      <c r="G488" s="115"/>
      <c r="H488" s="115"/>
      <c r="I488" s="115"/>
    </row>
    <row r="489" ht="15.75" customHeight="1">
      <c r="B489" s="114"/>
      <c r="E489" s="114"/>
      <c r="F489" s="115"/>
      <c r="G489" s="115"/>
      <c r="H489" s="115"/>
      <c r="I489" s="115"/>
    </row>
    <row r="490" ht="15.75" customHeight="1">
      <c r="B490" s="114"/>
      <c r="E490" s="114"/>
      <c r="F490" s="115"/>
      <c r="G490" s="115"/>
      <c r="H490" s="115"/>
      <c r="I490" s="115"/>
    </row>
    <row r="491" ht="15.75" customHeight="1">
      <c r="B491" s="114"/>
      <c r="E491" s="114"/>
      <c r="F491" s="115"/>
      <c r="G491" s="115"/>
      <c r="H491" s="115"/>
      <c r="I491" s="115"/>
    </row>
    <row r="492" ht="15.75" customHeight="1">
      <c r="B492" s="114"/>
      <c r="E492" s="114"/>
      <c r="F492" s="115"/>
      <c r="G492" s="115"/>
      <c r="H492" s="115"/>
      <c r="I492" s="115"/>
    </row>
    <row r="493" ht="15.75" customHeight="1">
      <c r="B493" s="114"/>
      <c r="E493" s="114"/>
      <c r="F493" s="115"/>
      <c r="G493" s="115"/>
      <c r="H493" s="115"/>
      <c r="I493" s="115"/>
    </row>
    <row r="494" ht="15.75" customHeight="1">
      <c r="B494" s="114"/>
      <c r="E494" s="114"/>
      <c r="F494" s="115"/>
      <c r="G494" s="115"/>
      <c r="H494" s="115"/>
      <c r="I494" s="115"/>
    </row>
    <row r="495" ht="15.75" customHeight="1">
      <c r="B495" s="114"/>
      <c r="E495" s="114"/>
      <c r="F495" s="115"/>
      <c r="G495" s="115"/>
      <c r="H495" s="115"/>
      <c r="I495" s="115"/>
    </row>
    <row r="496" ht="15.75" customHeight="1">
      <c r="B496" s="114"/>
      <c r="E496" s="114"/>
      <c r="F496" s="115"/>
      <c r="G496" s="115"/>
      <c r="H496" s="115"/>
      <c r="I496" s="115"/>
    </row>
    <row r="497" ht="15.75" customHeight="1">
      <c r="B497" s="114"/>
      <c r="E497" s="114"/>
      <c r="F497" s="115"/>
      <c r="G497" s="115"/>
      <c r="H497" s="115"/>
      <c r="I497" s="115"/>
    </row>
    <row r="498" ht="15.75" customHeight="1">
      <c r="B498" s="114"/>
      <c r="E498" s="114"/>
      <c r="F498" s="115"/>
      <c r="G498" s="115"/>
      <c r="H498" s="115"/>
      <c r="I498" s="115"/>
    </row>
    <row r="499" ht="15.75" customHeight="1">
      <c r="B499" s="114"/>
      <c r="E499" s="114"/>
      <c r="F499" s="115"/>
      <c r="G499" s="115"/>
      <c r="H499" s="115"/>
      <c r="I499" s="115"/>
    </row>
    <row r="500" ht="15.75" customHeight="1">
      <c r="B500" s="114"/>
      <c r="E500" s="114"/>
      <c r="F500" s="115"/>
      <c r="G500" s="115"/>
      <c r="H500" s="115"/>
      <c r="I500" s="115"/>
    </row>
    <row r="501" ht="15.75" customHeight="1">
      <c r="B501" s="114"/>
      <c r="E501" s="114"/>
      <c r="F501" s="115"/>
      <c r="G501" s="115"/>
      <c r="H501" s="115"/>
      <c r="I501" s="115"/>
    </row>
    <row r="502" ht="15.75" customHeight="1">
      <c r="B502" s="114"/>
      <c r="E502" s="114"/>
      <c r="F502" s="115"/>
      <c r="G502" s="115"/>
      <c r="H502" s="115"/>
      <c r="I502" s="115"/>
    </row>
    <row r="503" ht="15.75" customHeight="1">
      <c r="B503" s="114"/>
      <c r="E503" s="114"/>
      <c r="F503" s="115"/>
      <c r="G503" s="115"/>
      <c r="H503" s="115"/>
      <c r="I503" s="115"/>
    </row>
    <row r="504" ht="15.75" customHeight="1">
      <c r="B504" s="114"/>
      <c r="E504" s="114"/>
      <c r="F504" s="115"/>
      <c r="G504" s="115"/>
      <c r="H504" s="115"/>
      <c r="I504" s="115"/>
    </row>
    <row r="505" ht="15.75" customHeight="1">
      <c r="B505" s="114"/>
      <c r="E505" s="114"/>
      <c r="F505" s="115"/>
      <c r="G505" s="115"/>
      <c r="H505" s="115"/>
      <c r="I505" s="115"/>
    </row>
    <row r="506" ht="15.75" customHeight="1">
      <c r="B506" s="114"/>
      <c r="E506" s="114"/>
      <c r="F506" s="115"/>
      <c r="G506" s="115"/>
      <c r="H506" s="115"/>
      <c r="I506" s="115"/>
    </row>
    <row r="507" ht="15.75" customHeight="1">
      <c r="B507" s="114"/>
      <c r="E507" s="114"/>
      <c r="F507" s="115"/>
      <c r="G507" s="115"/>
      <c r="H507" s="115"/>
      <c r="I507" s="115"/>
    </row>
    <row r="508" ht="15.75" customHeight="1">
      <c r="B508" s="114"/>
      <c r="E508" s="114"/>
      <c r="F508" s="115"/>
      <c r="G508" s="115"/>
      <c r="H508" s="115"/>
      <c r="I508" s="115"/>
    </row>
    <row r="509" ht="15.75" customHeight="1">
      <c r="B509" s="114"/>
      <c r="E509" s="114"/>
      <c r="F509" s="115"/>
      <c r="G509" s="115"/>
      <c r="H509" s="115"/>
      <c r="I509" s="115"/>
    </row>
    <row r="510" ht="15.75" customHeight="1">
      <c r="B510" s="114"/>
      <c r="E510" s="114"/>
      <c r="F510" s="115"/>
      <c r="G510" s="115"/>
      <c r="H510" s="115"/>
      <c r="I510" s="115"/>
    </row>
    <row r="511" ht="15.75" customHeight="1">
      <c r="B511" s="114"/>
      <c r="E511" s="114"/>
      <c r="F511" s="115"/>
      <c r="G511" s="115"/>
      <c r="H511" s="115"/>
      <c r="I511" s="115"/>
    </row>
    <row r="512" ht="15.75" customHeight="1">
      <c r="B512" s="114"/>
      <c r="E512" s="114"/>
      <c r="F512" s="115"/>
      <c r="G512" s="115"/>
      <c r="H512" s="115"/>
      <c r="I512" s="115"/>
    </row>
    <row r="513" ht="15.75" customHeight="1">
      <c r="B513" s="114"/>
      <c r="E513" s="114"/>
      <c r="F513" s="115"/>
      <c r="G513" s="115"/>
      <c r="H513" s="115"/>
      <c r="I513" s="115"/>
    </row>
    <row r="514" ht="15.75" customHeight="1">
      <c r="B514" s="114"/>
      <c r="E514" s="114"/>
      <c r="F514" s="115"/>
      <c r="G514" s="115"/>
      <c r="H514" s="115"/>
      <c r="I514" s="115"/>
    </row>
    <row r="515" ht="15.75" customHeight="1">
      <c r="B515" s="114"/>
      <c r="E515" s="114"/>
      <c r="F515" s="115"/>
      <c r="G515" s="115"/>
      <c r="H515" s="115"/>
      <c r="I515" s="115"/>
    </row>
    <row r="516" ht="15.75" customHeight="1">
      <c r="B516" s="114"/>
      <c r="E516" s="114"/>
      <c r="F516" s="115"/>
      <c r="G516" s="115"/>
      <c r="H516" s="115"/>
      <c r="I516" s="115"/>
    </row>
    <row r="517" ht="15.75" customHeight="1">
      <c r="B517" s="114"/>
      <c r="E517" s="114"/>
      <c r="F517" s="115"/>
      <c r="G517" s="115"/>
      <c r="H517" s="115"/>
      <c r="I517" s="115"/>
    </row>
    <row r="518" ht="15.75" customHeight="1">
      <c r="B518" s="114"/>
      <c r="E518" s="114"/>
      <c r="F518" s="115"/>
      <c r="G518" s="115"/>
      <c r="H518" s="115"/>
      <c r="I518" s="115"/>
    </row>
    <row r="519" ht="15.75" customHeight="1">
      <c r="B519" s="114"/>
      <c r="E519" s="114"/>
      <c r="F519" s="115"/>
      <c r="G519" s="115"/>
      <c r="H519" s="115"/>
      <c r="I519" s="115"/>
    </row>
    <row r="520" ht="15.75" customHeight="1">
      <c r="B520" s="114"/>
      <c r="E520" s="114"/>
      <c r="F520" s="115"/>
      <c r="G520" s="115"/>
      <c r="H520" s="115"/>
      <c r="I520" s="115"/>
    </row>
    <row r="521" ht="15.75" customHeight="1">
      <c r="B521" s="114"/>
      <c r="E521" s="114"/>
      <c r="F521" s="115"/>
      <c r="G521" s="115"/>
      <c r="H521" s="115"/>
      <c r="I521" s="115"/>
    </row>
    <row r="522" ht="15.75" customHeight="1">
      <c r="B522" s="114"/>
      <c r="E522" s="114"/>
      <c r="F522" s="115"/>
      <c r="G522" s="115"/>
      <c r="H522" s="115"/>
      <c r="I522" s="115"/>
    </row>
    <row r="523" ht="15.75" customHeight="1">
      <c r="B523" s="114"/>
      <c r="E523" s="114"/>
      <c r="F523" s="115"/>
      <c r="G523" s="115"/>
      <c r="H523" s="115"/>
      <c r="I523" s="115"/>
    </row>
    <row r="524" ht="15.75" customHeight="1">
      <c r="B524" s="114"/>
      <c r="E524" s="114"/>
      <c r="F524" s="115"/>
      <c r="G524" s="115"/>
      <c r="H524" s="115"/>
      <c r="I524" s="115"/>
    </row>
    <row r="525" ht="15.75" customHeight="1">
      <c r="B525" s="114"/>
      <c r="E525" s="114"/>
      <c r="F525" s="115"/>
      <c r="G525" s="115"/>
      <c r="H525" s="115"/>
      <c r="I525" s="115"/>
    </row>
    <row r="526" ht="15.75" customHeight="1">
      <c r="B526" s="114"/>
      <c r="E526" s="114"/>
      <c r="F526" s="115"/>
      <c r="G526" s="115"/>
      <c r="H526" s="115"/>
      <c r="I526" s="115"/>
    </row>
    <row r="527" ht="15.75" customHeight="1">
      <c r="B527" s="114"/>
      <c r="E527" s="114"/>
      <c r="F527" s="115"/>
      <c r="G527" s="115"/>
      <c r="H527" s="115"/>
      <c r="I527" s="115"/>
    </row>
    <row r="528" ht="15.75" customHeight="1">
      <c r="B528" s="114"/>
      <c r="E528" s="114"/>
      <c r="F528" s="115"/>
      <c r="G528" s="115"/>
      <c r="H528" s="115"/>
      <c r="I528" s="115"/>
    </row>
    <row r="529" ht="15.75" customHeight="1">
      <c r="B529" s="114"/>
      <c r="E529" s="114"/>
      <c r="F529" s="115"/>
      <c r="G529" s="115"/>
      <c r="H529" s="115"/>
      <c r="I529" s="115"/>
    </row>
    <row r="530" ht="15.75" customHeight="1">
      <c r="B530" s="114"/>
      <c r="E530" s="114"/>
      <c r="F530" s="115"/>
      <c r="G530" s="115"/>
      <c r="H530" s="115"/>
      <c r="I530" s="115"/>
    </row>
    <row r="531" ht="15.75" customHeight="1">
      <c r="B531" s="114"/>
      <c r="E531" s="114"/>
      <c r="F531" s="115"/>
      <c r="G531" s="115"/>
      <c r="H531" s="115"/>
      <c r="I531" s="115"/>
    </row>
    <row r="532" ht="15.75" customHeight="1">
      <c r="B532" s="114"/>
      <c r="E532" s="114"/>
      <c r="F532" s="115"/>
      <c r="G532" s="115"/>
      <c r="H532" s="115"/>
      <c r="I532" s="115"/>
    </row>
    <row r="533" ht="15.75" customHeight="1">
      <c r="B533" s="114"/>
      <c r="E533" s="114"/>
      <c r="F533" s="115"/>
      <c r="G533" s="115"/>
      <c r="H533" s="115"/>
      <c r="I533" s="115"/>
    </row>
    <row r="534" ht="15.75" customHeight="1">
      <c r="B534" s="114"/>
      <c r="E534" s="114"/>
      <c r="F534" s="115"/>
      <c r="G534" s="115"/>
      <c r="H534" s="115"/>
      <c r="I534" s="115"/>
    </row>
    <row r="535" ht="15.75" customHeight="1">
      <c r="B535" s="114"/>
      <c r="E535" s="114"/>
      <c r="F535" s="115"/>
      <c r="G535" s="115"/>
      <c r="H535" s="115"/>
      <c r="I535" s="115"/>
    </row>
    <row r="536" ht="15.75" customHeight="1">
      <c r="B536" s="114"/>
      <c r="E536" s="114"/>
      <c r="F536" s="115"/>
      <c r="G536" s="115"/>
      <c r="H536" s="115"/>
      <c r="I536" s="115"/>
    </row>
    <row r="537" ht="15.75" customHeight="1">
      <c r="B537" s="114"/>
      <c r="E537" s="114"/>
      <c r="F537" s="115"/>
      <c r="G537" s="115"/>
      <c r="H537" s="115"/>
      <c r="I537" s="115"/>
    </row>
    <row r="538" ht="15.75" customHeight="1">
      <c r="B538" s="114"/>
      <c r="E538" s="114"/>
      <c r="F538" s="115"/>
      <c r="G538" s="115"/>
      <c r="H538" s="115"/>
      <c r="I538" s="115"/>
    </row>
    <row r="539" ht="15.75" customHeight="1">
      <c r="B539" s="114"/>
      <c r="E539" s="114"/>
      <c r="F539" s="115"/>
      <c r="G539" s="115"/>
      <c r="H539" s="115"/>
      <c r="I539" s="115"/>
    </row>
    <row r="540" ht="15.75" customHeight="1">
      <c r="B540" s="114"/>
      <c r="E540" s="114"/>
      <c r="F540" s="115"/>
      <c r="G540" s="115"/>
      <c r="H540" s="115"/>
      <c r="I540" s="115"/>
    </row>
    <row r="541" ht="15.75" customHeight="1">
      <c r="B541" s="114"/>
      <c r="E541" s="114"/>
      <c r="F541" s="115"/>
      <c r="G541" s="115"/>
      <c r="H541" s="115"/>
      <c r="I541" s="115"/>
    </row>
    <row r="542" ht="15.75" customHeight="1">
      <c r="B542" s="114"/>
      <c r="E542" s="114"/>
      <c r="F542" s="115"/>
      <c r="G542" s="115"/>
      <c r="H542" s="115"/>
      <c r="I542" s="115"/>
    </row>
    <row r="543" ht="15.75" customHeight="1">
      <c r="B543" s="114"/>
      <c r="E543" s="114"/>
      <c r="F543" s="115"/>
      <c r="G543" s="115"/>
      <c r="H543" s="115"/>
      <c r="I543" s="115"/>
    </row>
    <row r="544" ht="15.75" customHeight="1">
      <c r="B544" s="114"/>
      <c r="E544" s="114"/>
      <c r="F544" s="115"/>
      <c r="G544" s="115"/>
      <c r="H544" s="115"/>
      <c r="I544" s="115"/>
    </row>
    <row r="545" ht="15.75" customHeight="1">
      <c r="B545" s="114"/>
      <c r="E545" s="114"/>
      <c r="F545" s="115"/>
      <c r="G545" s="115"/>
      <c r="H545" s="115"/>
      <c r="I545" s="115"/>
    </row>
    <row r="546" ht="15.75" customHeight="1">
      <c r="B546" s="114"/>
      <c r="E546" s="114"/>
      <c r="F546" s="115"/>
      <c r="G546" s="115"/>
      <c r="H546" s="115"/>
      <c r="I546" s="115"/>
    </row>
    <row r="547" ht="15.75" customHeight="1">
      <c r="B547" s="114"/>
      <c r="E547" s="114"/>
      <c r="F547" s="115"/>
      <c r="G547" s="115"/>
      <c r="H547" s="115"/>
      <c r="I547" s="115"/>
    </row>
    <row r="548" ht="15.75" customHeight="1">
      <c r="B548" s="114"/>
      <c r="E548" s="114"/>
      <c r="F548" s="115"/>
      <c r="G548" s="115"/>
      <c r="H548" s="115"/>
      <c r="I548" s="115"/>
    </row>
    <row r="549" ht="15.75" customHeight="1">
      <c r="B549" s="114"/>
      <c r="E549" s="114"/>
      <c r="F549" s="115"/>
      <c r="G549" s="115"/>
      <c r="H549" s="115"/>
      <c r="I549" s="115"/>
    </row>
    <row r="550" ht="15.75" customHeight="1">
      <c r="B550" s="114"/>
      <c r="E550" s="114"/>
      <c r="F550" s="115"/>
      <c r="G550" s="115"/>
      <c r="H550" s="115"/>
      <c r="I550" s="115"/>
    </row>
    <row r="551" ht="15.75" customHeight="1">
      <c r="B551" s="114"/>
      <c r="E551" s="114"/>
      <c r="F551" s="115"/>
      <c r="G551" s="115"/>
      <c r="H551" s="115"/>
      <c r="I551" s="115"/>
    </row>
    <row r="552" ht="15.75" customHeight="1">
      <c r="B552" s="114"/>
      <c r="E552" s="114"/>
      <c r="F552" s="115"/>
      <c r="G552" s="115"/>
      <c r="H552" s="115"/>
      <c r="I552" s="115"/>
    </row>
    <row r="553" ht="15.75" customHeight="1">
      <c r="B553" s="114"/>
      <c r="E553" s="114"/>
      <c r="F553" s="115"/>
      <c r="G553" s="115"/>
      <c r="H553" s="115"/>
      <c r="I553" s="115"/>
    </row>
    <row r="554" ht="15.75" customHeight="1">
      <c r="B554" s="114"/>
      <c r="E554" s="114"/>
      <c r="F554" s="115"/>
      <c r="G554" s="115"/>
      <c r="H554" s="115"/>
      <c r="I554" s="115"/>
    </row>
    <row r="555" ht="15.75" customHeight="1">
      <c r="B555" s="114"/>
      <c r="E555" s="114"/>
      <c r="F555" s="115"/>
      <c r="G555" s="115"/>
      <c r="H555" s="115"/>
      <c r="I555" s="115"/>
    </row>
    <row r="556" ht="15.75" customHeight="1">
      <c r="B556" s="114"/>
      <c r="E556" s="114"/>
      <c r="F556" s="115"/>
      <c r="G556" s="115"/>
      <c r="H556" s="115"/>
      <c r="I556" s="115"/>
    </row>
    <row r="557" ht="15.75" customHeight="1">
      <c r="B557" s="114"/>
      <c r="E557" s="114"/>
      <c r="F557" s="115"/>
      <c r="G557" s="115"/>
      <c r="H557" s="115"/>
      <c r="I557" s="115"/>
    </row>
    <row r="558" ht="15.75" customHeight="1">
      <c r="B558" s="114"/>
      <c r="E558" s="114"/>
      <c r="F558" s="115"/>
      <c r="G558" s="115"/>
      <c r="H558" s="115"/>
      <c r="I558" s="115"/>
    </row>
    <row r="559" ht="15.75" customHeight="1">
      <c r="B559" s="114"/>
      <c r="E559" s="114"/>
      <c r="F559" s="115"/>
      <c r="G559" s="115"/>
      <c r="H559" s="115"/>
      <c r="I559" s="115"/>
    </row>
    <row r="560" ht="15.75" customHeight="1">
      <c r="B560" s="114"/>
      <c r="E560" s="114"/>
      <c r="F560" s="115"/>
      <c r="G560" s="115"/>
      <c r="H560" s="115"/>
      <c r="I560" s="115"/>
    </row>
    <row r="561" ht="15.75" customHeight="1">
      <c r="B561" s="114"/>
      <c r="E561" s="114"/>
      <c r="F561" s="115"/>
      <c r="G561" s="115"/>
      <c r="H561" s="115"/>
      <c r="I561" s="115"/>
    </row>
    <row r="562" ht="15.75" customHeight="1">
      <c r="B562" s="114"/>
      <c r="E562" s="114"/>
      <c r="F562" s="115"/>
      <c r="G562" s="115"/>
      <c r="H562" s="115"/>
      <c r="I562" s="115"/>
    </row>
    <row r="563" ht="15.75" customHeight="1">
      <c r="B563" s="114"/>
      <c r="E563" s="114"/>
      <c r="F563" s="115"/>
      <c r="G563" s="115"/>
      <c r="H563" s="115"/>
      <c r="I563" s="115"/>
    </row>
    <row r="564" ht="15.75" customHeight="1">
      <c r="B564" s="114"/>
      <c r="E564" s="114"/>
      <c r="F564" s="115"/>
      <c r="G564" s="115"/>
      <c r="H564" s="115"/>
      <c r="I564" s="115"/>
    </row>
    <row r="565" ht="15.75" customHeight="1">
      <c r="B565" s="114"/>
      <c r="E565" s="114"/>
      <c r="F565" s="115"/>
      <c r="G565" s="115"/>
      <c r="H565" s="115"/>
      <c r="I565" s="115"/>
    </row>
    <row r="566" ht="15.75" customHeight="1">
      <c r="B566" s="114"/>
      <c r="E566" s="114"/>
      <c r="F566" s="115"/>
      <c r="G566" s="115"/>
      <c r="H566" s="115"/>
      <c r="I566" s="115"/>
    </row>
    <row r="567" ht="15.75" customHeight="1">
      <c r="B567" s="114"/>
      <c r="E567" s="114"/>
      <c r="F567" s="115"/>
      <c r="G567" s="115"/>
      <c r="H567" s="115"/>
      <c r="I567" s="115"/>
    </row>
    <row r="568" ht="15.75" customHeight="1">
      <c r="B568" s="114"/>
      <c r="E568" s="114"/>
      <c r="F568" s="115"/>
      <c r="G568" s="115"/>
      <c r="H568" s="115"/>
      <c r="I568" s="115"/>
    </row>
    <row r="569" ht="15.75" customHeight="1">
      <c r="B569" s="114"/>
      <c r="E569" s="114"/>
      <c r="F569" s="115"/>
      <c r="G569" s="115"/>
      <c r="H569" s="115"/>
      <c r="I569" s="115"/>
    </row>
    <row r="570" ht="15.75" customHeight="1">
      <c r="B570" s="114"/>
      <c r="E570" s="114"/>
      <c r="F570" s="115"/>
      <c r="G570" s="115"/>
      <c r="H570" s="115"/>
      <c r="I570" s="115"/>
    </row>
    <row r="571" ht="15.75" customHeight="1">
      <c r="B571" s="114"/>
      <c r="E571" s="114"/>
      <c r="F571" s="115"/>
      <c r="G571" s="115"/>
      <c r="H571" s="115"/>
      <c r="I571" s="115"/>
    </row>
    <row r="572" ht="15.75" customHeight="1">
      <c r="B572" s="114"/>
      <c r="E572" s="114"/>
      <c r="F572" s="115"/>
      <c r="G572" s="115"/>
      <c r="H572" s="115"/>
      <c r="I572" s="115"/>
    </row>
    <row r="573" ht="15.75" customHeight="1">
      <c r="B573" s="114"/>
      <c r="E573" s="114"/>
      <c r="F573" s="115"/>
      <c r="G573" s="115"/>
      <c r="H573" s="115"/>
      <c r="I573" s="115"/>
    </row>
    <row r="574" ht="15.75" customHeight="1">
      <c r="B574" s="114"/>
      <c r="E574" s="114"/>
      <c r="F574" s="115"/>
      <c r="G574" s="115"/>
      <c r="H574" s="115"/>
      <c r="I574" s="115"/>
    </row>
    <row r="575" ht="15.75" customHeight="1">
      <c r="B575" s="114"/>
      <c r="E575" s="114"/>
      <c r="F575" s="115"/>
      <c r="G575" s="115"/>
      <c r="H575" s="115"/>
      <c r="I575" s="115"/>
    </row>
    <row r="576" ht="15.75" customHeight="1">
      <c r="B576" s="114"/>
      <c r="E576" s="114"/>
      <c r="F576" s="115"/>
      <c r="G576" s="115"/>
      <c r="H576" s="115"/>
      <c r="I576" s="115"/>
    </row>
    <row r="577" ht="15.75" customHeight="1">
      <c r="B577" s="114"/>
      <c r="E577" s="114"/>
      <c r="F577" s="115"/>
      <c r="G577" s="115"/>
      <c r="H577" s="115"/>
      <c r="I577" s="115"/>
    </row>
    <row r="578" ht="15.75" customHeight="1">
      <c r="B578" s="114"/>
      <c r="E578" s="114"/>
      <c r="F578" s="115"/>
      <c r="G578" s="115"/>
      <c r="H578" s="115"/>
      <c r="I578" s="115"/>
    </row>
    <row r="579" ht="15.75" customHeight="1">
      <c r="B579" s="114"/>
      <c r="E579" s="114"/>
      <c r="F579" s="115"/>
      <c r="G579" s="115"/>
      <c r="H579" s="115"/>
      <c r="I579" s="115"/>
    </row>
    <row r="580" ht="15.75" customHeight="1">
      <c r="B580" s="114"/>
      <c r="E580" s="114"/>
      <c r="F580" s="115"/>
      <c r="G580" s="115"/>
      <c r="H580" s="115"/>
      <c r="I580" s="115"/>
    </row>
    <row r="581" ht="15.75" customHeight="1">
      <c r="B581" s="114"/>
      <c r="E581" s="114"/>
      <c r="F581" s="115"/>
      <c r="G581" s="115"/>
      <c r="H581" s="115"/>
      <c r="I581" s="115"/>
    </row>
    <row r="582" ht="15.75" customHeight="1">
      <c r="B582" s="114"/>
      <c r="E582" s="114"/>
      <c r="F582" s="115"/>
      <c r="G582" s="115"/>
      <c r="H582" s="115"/>
      <c r="I582" s="115"/>
    </row>
    <row r="583" ht="15.75" customHeight="1">
      <c r="B583" s="114"/>
      <c r="E583" s="114"/>
      <c r="F583" s="115"/>
      <c r="G583" s="115"/>
      <c r="H583" s="115"/>
      <c r="I583" s="115"/>
    </row>
    <row r="584" ht="15.75" customHeight="1">
      <c r="B584" s="114"/>
      <c r="E584" s="114"/>
      <c r="F584" s="115"/>
      <c r="G584" s="115"/>
      <c r="H584" s="115"/>
      <c r="I584" s="115"/>
    </row>
    <row r="585" ht="15.75" customHeight="1">
      <c r="B585" s="114"/>
      <c r="E585" s="114"/>
      <c r="F585" s="115"/>
      <c r="G585" s="115"/>
      <c r="H585" s="115"/>
      <c r="I585" s="115"/>
    </row>
    <row r="586" ht="15.75" customHeight="1">
      <c r="B586" s="114"/>
      <c r="E586" s="114"/>
      <c r="F586" s="115"/>
      <c r="G586" s="115"/>
      <c r="H586" s="115"/>
      <c r="I586" s="115"/>
    </row>
    <row r="587" ht="15.75" customHeight="1">
      <c r="B587" s="114"/>
      <c r="E587" s="114"/>
      <c r="F587" s="115"/>
      <c r="G587" s="115"/>
      <c r="H587" s="115"/>
      <c r="I587" s="115"/>
    </row>
    <row r="588" ht="15.75" customHeight="1">
      <c r="B588" s="114"/>
      <c r="E588" s="114"/>
      <c r="F588" s="115"/>
      <c r="G588" s="115"/>
      <c r="H588" s="115"/>
      <c r="I588" s="115"/>
    </row>
    <row r="589" ht="15.75" customHeight="1">
      <c r="B589" s="114"/>
      <c r="E589" s="114"/>
      <c r="F589" s="115"/>
      <c r="G589" s="115"/>
      <c r="H589" s="115"/>
      <c r="I589" s="115"/>
    </row>
    <row r="590" ht="15.75" customHeight="1">
      <c r="B590" s="114"/>
      <c r="E590" s="114"/>
      <c r="F590" s="115"/>
      <c r="G590" s="115"/>
      <c r="H590" s="115"/>
      <c r="I590" s="115"/>
    </row>
    <row r="591" ht="15.75" customHeight="1">
      <c r="B591" s="114"/>
      <c r="E591" s="114"/>
      <c r="F591" s="115"/>
      <c r="G591" s="115"/>
      <c r="H591" s="115"/>
      <c r="I591" s="115"/>
    </row>
    <row r="592" ht="15.75" customHeight="1">
      <c r="B592" s="114"/>
      <c r="E592" s="114"/>
      <c r="F592" s="115"/>
      <c r="G592" s="115"/>
      <c r="H592" s="115"/>
      <c r="I592" s="115"/>
    </row>
    <row r="593" ht="15.75" customHeight="1">
      <c r="B593" s="114"/>
      <c r="E593" s="114"/>
      <c r="F593" s="115"/>
      <c r="G593" s="115"/>
      <c r="H593" s="115"/>
      <c r="I593" s="115"/>
    </row>
    <row r="594" ht="15.75" customHeight="1">
      <c r="B594" s="114"/>
      <c r="E594" s="114"/>
      <c r="F594" s="115"/>
      <c r="G594" s="115"/>
      <c r="H594" s="115"/>
      <c r="I594" s="115"/>
    </row>
    <row r="595" ht="15.75" customHeight="1">
      <c r="B595" s="114"/>
      <c r="E595" s="114"/>
      <c r="F595" s="115"/>
      <c r="G595" s="115"/>
      <c r="H595" s="115"/>
      <c r="I595" s="115"/>
    </row>
    <row r="596" ht="15.75" customHeight="1">
      <c r="B596" s="114"/>
      <c r="E596" s="114"/>
      <c r="F596" s="115"/>
      <c r="G596" s="115"/>
      <c r="H596" s="115"/>
      <c r="I596" s="115"/>
    </row>
    <row r="597" ht="15.75" customHeight="1">
      <c r="B597" s="114"/>
      <c r="E597" s="114"/>
      <c r="F597" s="115"/>
      <c r="G597" s="115"/>
      <c r="H597" s="115"/>
      <c r="I597" s="115"/>
    </row>
    <row r="598" ht="15.75" customHeight="1">
      <c r="B598" s="114"/>
      <c r="E598" s="114"/>
      <c r="F598" s="115"/>
      <c r="G598" s="115"/>
      <c r="H598" s="115"/>
      <c r="I598" s="115"/>
    </row>
    <row r="599" ht="15.75" customHeight="1">
      <c r="B599" s="114"/>
      <c r="E599" s="114"/>
      <c r="F599" s="115"/>
      <c r="G599" s="115"/>
      <c r="H599" s="115"/>
      <c r="I599" s="115"/>
    </row>
    <row r="600" ht="15.75" customHeight="1">
      <c r="B600" s="114"/>
      <c r="E600" s="114"/>
      <c r="F600" s="115"/>
      <c r="G600" s="115"/>
      <c r="H600" s="115"/>
      <c r="I600" s="115"/>
    </row>
    <row r="601" ht="15.75" customHeight="1">
      <c r="B601" s="114"/>
      <c r="E601" s="114"/>
      <c r="F601" s="115"/>
      <c r="G601" s="115"/>
      <c r="H601" s="115"/>
      <c r="I601" s="115"/>
    </row>
    <row r="602" ht="15.75" customHeight="1">
      <c r="B602" s="114"/>
      <c r="E602" s="114"/>
      <c r="F602" s="115"/>
      <c r="G602" s="115"/>
      <c r="H602" s="115"/>
      <c r="I602" s="115"/>
    </row>
    <row r="603" ht="15.75" customHeight="1">
      <c r="B603" s="114"/>
      <c r="E603" s="114"/>
      <c r="F603" s="115"/>
      <c r="G603" s="115"/>
      <c r="H603" s="115"/>
      <c r="I603" s="115"/>
    </row>
    <row r="604" ht="15.75" customHeight="1">
      <c r="B604" s="114"/>
      <c r="E604" s="114"/>
      <c r="F604" s="115"/>
      <c r="G604" s="115"/>
      <c r="H604" s="115"/>
      <c r="I604" s="115"/>
    </row>
    <row r="605" ht="15.75" customHeight="1">
      <c r="B605" s="114"/>
      <c r="E605" s="114"/>
      <c r="F605" s="115"/>
      <c r="G605" s="115"/>
      <c r="H605" s="115"/>
      <c r="I605" s="115"/>
    </row>
    <row r="606" ht="15.75" customHeight="1">
      <c r="B606" s="114"/>
      <c r="E606" s="114"/>
      <c r="F606" s="115"/>
      <c r="G606" s="115"/>
      <c r="H606" s="115"/>
      <c r="I606" s="115"/>
    </row>
    <row r="607" ht="15.75" customHeight="1">
      <c r="B607" s="114"/>
      <c r="E607" s="114"/>
      <c r="F607" s="115"/>
      <c r="G607" s="115"/>
      <c r="H607" s="115"/>
      <c r="I607" s="115"/>
    </row>
    <row r="608" ht="15.75" customHeight="1">
      <c r="B608" s="114"/>
      <c r="E608" s="114"/>
      <c r="F608" s="115"/>
      <c r="G608" s="115"/>
      <c r="H608" s="115"/>
      <c r="I608" s="115"/>
    </row>
    <row r="609" ht="15.75" customHeight="1">
      <c r="B609" s="114"/>
      <c r="E609" s="114"/>
      <c r="F609" s="115"/>
      <c r="G609" s="115"/>
      <c r="H609" s="115"/>
      <c r="I609" s="115"/>
    </row>
    <row r="610" ht="15.75" customHeight="1">
      <c r="B610" s="114"/>
      <c r="E610" s="114"/>
      <c r="F610" s="115"/>
      <c r="G610" s="115"/>
      <c r="H610" s="115"/>
      <c r="I610" s="115"/>
    </row>
    <row r="611" ht="15.75" customHeight="1">
      <c r="B611" s="114"/>
      <c r="E611" s="114"/>
      <c r="F611" s="115"/>
      <c r="G611" s="115"/>
      <c r="H611" s="115"/>
      <c r="I611" s="115"/>
    </row>
    <row r="612" ht="15.75" customHeight="1">
      <c r="B612" s="114"/>
      <c r="E612" s="114"/>
      <c r="F612" s="115"/>
      <c r="G612" s="115"/>
      <c r="H612" s="115"/>
      <c r="I612" s="115"/>
    </row>
    <row r="613" ht="15.75" customHeight="1">
      <c r="B613" s="114"/>
      <c r="E613" s="114"/>
      <c r="F613" s="115"/>
      <c r="G613" s="115"/>
      <c r="H613" s="115"/>
      <c r="I613" s="115"/>
    </row>
    <row r="614" ht="15.75" customHeight="1">
      <c r="B614" s="114"/>
      <c r="E614" s="114"/>
      <c r="F614" s="115"/>
      <c r="G614" s="115"/>
      <c r="H614" s="115"/>
      <c r="I614" s="115"/>
    </row>
    <row r="615" ht="15.75" customHeight="1">
      <c r="B615" s="114"/>
      <c r="E615" s="114"/>
      <c r="F615" s="115"/>
      <c r="G615" s="115"/>
      <c r="H615" s="115"/>
      <c r="I615" s="115"/>
    </row>
    <row r="616" ht="15.75" customHeight="1">
      <c r="B616" s="114"/>
      <c r="E616" s="114"/>
      <c r="F616" s="115"/>
      <c r="G616" s="115"/>
      <c r="H616" s="115"/>
      <c r="I616" s="115"/>
    </row>
    <row r="617" ht="15.75" customHeight="1">
      <c r="B617" s="114"/>
      <c r="E617" s="114"/>
      <c r="F617" s="115"/>
      <c r="G617" s="115"/>
      <c r="H617" s="115"/>
      <c r="I617" s="115"/>
    </row>
    <row r="618" ht="15.75" customHeight="1">
      <c r="B618" s="114"/>
      <c r="E618" s="114"/>
      <c r="F618" s="115"/>
      <c r="G618" s="115"/>
      <c r="H618" s="115"/>
      <c r="I618" s="115"/>
    </row>
    <row r="619" ht="15.75" customHeight="1">
      <c r="B619" s="114"/>
      <c r="E619" s="114"/>
      <c r="F619" s="115"/>
      <c r="G619" s="115"/>
      <c r="H619" s="115"/>
      <c r="I619" s="115"/>
    </row>
    <row r="620" ht="15.75" customHeight="1">
      <c r="B620" s="114"/>
      <c r="E620" s="114"/>
      <c r="F620" s="115"/>
      <c r="G620" s="115"/>
      <c r="H620" s="115"/>
      <c r="I620" s="115"/>
    </row>
    <row r="621" ht="15.75" customHeight="1">
      <c r="B621" s="114"/>
      <c r="E621" s="114"/>
      <c r="F621" s="115"/>
      <c r="G621" s="115"/>
      <c r="H621" s="115"/>
      <c r="I621" s="115"/>
    </row>
    <row r="622" ht="15.75" customHeight="1">
      <c r="B622" s="114"/>
      <c r="E622" s="114"/>
      <c r="F622" s="115"/>
      <c r="G622" s="115"/>
      <c r="H622" s="115"/>
      <c r="I622" s="115"/>
    </row>
    <row r="623" ht="15.75" customHeight="1">
      <c r="B623" s="114"/>
      <c r="E623" s="114"/>
      <c r="F623" s="115"/>
      <c r="G623" s="115"/>
      <c r="H623" s="115"/>
      <c r="I623" s="115"/>
    </row>
    <row r="624" ht="15.75" customHeight="1">
      <c r="B624" s="114"/>
      <c r="E624" s="114"/>
      <c r="F624" s="115"/>
      <c r="G624" s="115"/>
      <c r="H624" s="115"/>
      <c r="I624" s="115"/>
    </row>
    <row r="625" ht="15.75" customHeight="1">
      <c r="B625" s="114"/>
      <c r="E625" s="114"/>
      <c r="F625" s="115"/>
      <c r="G625" s="115"/>
      <c r="H625" s="115"/>
      <c r="I625" s="115"/>
    </row>
    <row r="626" ht="15.75" customHeight="1">
      <c r="B626" s="114"/>
      <c r="E626" s="114"/>
      <c r="F626" s="115"/>
      <c r="G626" s="115"/>
      <c r="H626" s="115"/>
      <c r="I626" s="115"/>
    </row>
    <row r="627" ht="15.75" customHeight="1">
      <c r="B627" s="114"/>
      <c r="E627" s="114"/>
      <c r="F627" s="115"/>
      <c r="G627" s="115"/>
      <c r="H627" s="115"/>
      <c r="I627" s="115"/>
    </row>
    <row r="628" ht="15.75" customHeight="1">
      <c r="B628" s="114"/>
      <c r="E628" s="114"/>
      <c r="F628" s="115"/>
      <c r="G628" s="115"/>
      <c r="H628" s="115"/>
      <c r="I628" s="115"/>
    </row>
    <row r="629" ht="15.75" customHeight="1">
      <c r="B629" s="114"/>
      <c r="E629" s="114"/>
      <c r="F629" s="115"/>
      <c r="G629" s="115"/>
      <c r="H629" s="115"/>
      <c r="I629" s="115"/>
    </row>
    <row r="630" ht="15.75" customHeight="1">
      <c r="B630" s="114"/>
      <c r="E630" s="114"/>
      <c r="F630" s="115"/>
      <c r="G630" s="115"/>
      <c r="H630" s="115"/>
      <c r="I630" s="115"/>
    </row>
    <row r="631" ht="15.75" customHeight="1">
      <c r="B631" s="114"/>
      <c r="E631" s="114"/>
      <c r="F631" s="115"/>
      <c r="G631" s="115"/>
      <c r="H631" s="115"/>
      <c r="I631" s="115"/>
    </row>
    <row r="632" ht="15.75" customHeight="1">
      <c r="B632" s="114"/>
      <c r="E632" s="114"/>
      <c r="F632" s="115"/>
      <c r="G632" s="115"/>
      <c r="H632" s="115"/>
      <c r="I632" s="115"/>
    </row>
    <row r="633" ht="15.75" customHeight="1">
      <c r="B633" s="114"/>
      <c r="E633" s="114"/>
      <c r="F633" s="115"/>
      <c r="G633" s="115"/>
      <c r="H633" s="115"/>
      <c r="I633" s="115"/>
    </row>
    <row r="634" ht="15.75" customHeight="1">
      <c r="B634" s="114"/>
      <c r="E634" s="114"/>
      <c r="F634" s="115"/>
      <c r="G634" s="115"/>
      <c r="H634" s="115"/>
      <c r="I634" s="115"/>
    </row>
    <row r="635" ht="15.75" customHeight="1">
      <c r="B635" s="114"/>
      <c r="E635" s="114"/>
      <c r="F635" s="115"/>
      <c r="G635" s="115"/>
      <c r="H635" s="115"/>
      <c r="I635" s="115"/>
    </row>
    <row r="636" ht="15.75" customHeight="1">
      <c r="B636" s="114"/>
      <c r="E636" s="114"/>
      <c r="F636" s="115"/>
      <c r="G636" s="115"/>
      <c r="H636" s="115"/>
      <c r="I636" s="115"/>
    </row>
    <row r="637" ht="15.75" customHeight="1">
      <c r="B637" s="114"/>
      <c r="E637" s="114"/>
      <c r="F637" s="115"/>
      <c r="G637" s="115"/>
      <c r="H637" s="115"/>
      <c r="I637" s="115"/>
    </row>
    <row r="638" ht="15.75" customHeight="1">
      <c r="B638" s="114"/>
      <c r="E638" s="114"/>
      <c r="F638" s="115"/>
      <c r="G638" s="115"/>
      <c r="H638" s="115"/>
      <c r="I638" s="115"/>
    </row>
    <row r="639" ht="15.75" customHeight="1">
      <c r="B639" s="114"/>
      <c r="E639" s="114"/>
      <c r="F639" s="115"/>
      <c r="G639" s="115"/>
      <c r="H639" s="115"/>
      <c r="I639" s="115"/>
    </row>
    <row r="640" ht="15.75" customHeight="1">
      <c r="B640" s="114"/>
      <c r="E640" s="114"/>
      <c r="F640" s="115"/>
      <c r="G640" s="115"/>
      <c r="H640" s="115"/>
      <c r="I640" s="115"/>
    </row>
    <row r="641" ht="15.75" customHeight="1">
      <c r="B641" s="114"/>
      <c r="E641" s="114"/>
      <c r="F641" s="115"/>
      <c r="G641" s="115"/>
      <c r="H641" s="115"/>
      <c r="I641" s="115"/>
    </row>
    <row r="642" ht="15.75" customHeight="1">
      <c r="B642" s="114"/>
      <c r="E642" s="114"/>
      <c r="F642" s="115"/>
      <c r="G642" s="115"/>
      <c r="H642" s="115"/>
      <c r="I642" s="115"/>
    </row>
    <row r="643" ht="15.75" customHeight="1">
      <c r="B643" s="114"/>
      <c r="E643" s="114"/>
      <c r="F643" s="115"/>
      <c r="G643" s="115"/>
      <c r="H643" s="115"/>
      <c r="I643" s="115"/>
    </row>
    <row r="644" ht="15.75" customHeight="1">
      <c r="B644" s="114"/>
      <c r="E644" s="114"/>
      <c r="F644" s="115"/>
      <c r="G644" s="115"/>
      <c r="H644" s="115"/>
      <c r="I644" s="115"/>
    </row>
    <row r="645" ht="15.75" customHeight="1">
      <c r="B645" s="114"/>
      <c r="E645" s="114"/>
      <c r="F645" s="115"/>
      <c r="G645" s="115"/>
      <c r="H645" s="115"/>
      <c r="I645" s="115"/>
    </row>
    <row r="646" ht="15.75" customHeight="1">
      <c r="B646" s="114"/>
      <c r="E646" s="114"/>
      <c r="F646" s="115"/>
      <c r="G646" s="115"/>
      <c r="H646" s="115"/>
      <c r="I646" s="115"/>
    </row>
    <row r="647" ht="15.75" customHeight="1">
      <c r="B647" s="114"/>
      <c r="E647" s="114"/>
      <c r="F647" s="115"/>
      <c r="G647" s="115"/>
      <c r="H647" s="115"/>
      <c r="I647" s="115"/>
    </row>
    <row r="648" ht="15.75" customHeight="1">
      <c r="B648" s="114"/>
      <c r="E648" s="114"/>
      <c r="F648" s="115"/>
      <c r="G648" s="115"/>
      <c r="H648" s="115"/>
      <c r="I648" s="115"/>
    </row>
    <row r="649" ht="15.75" customHeight="1">
      <c r="B649" s="114"/>
      <c r="E649" s="114"/>
      <c r="F649" s="115"/>
      <c r="G649" s="115"/>
      <c r="H649" s="115"/>
      <c r="I649" s="115"/>
    </row>
    <row r="650" ht="15.75" customHeight="1">
      <c r="B650" s="114"/>
      <c r="E650" s="114"/>
      <c r="F650" s="115"/>
      <c r="G650" s="115"/>
      <c r="H650" s="115"/>
      <c r="I650" s="115"/>
    </row>
    <row r="651" ht="15.75" customHeight="1">
      <c r="B651" s="114"/>
      <c r="E651" s="114"/>
      <c r="F651" s="115"/>
      <c r="G651" s="115"/>
      <c r="H651" s="115"/>
      <c r="I651" s="115"/>
    </row>
    <row r="652" ht="15.75" customHeight="1">
      <c r="B652" s="114"/>
      <c r="E652" s="114"/>
      <c r="F652" s="115"/>
      <c r="G652" s="115"/>
      <c r="H652" s="115"/>
      <c r="I652" s="115"/>
    </row>
    <row r="653" ht="15.75" customHeight="1">
      <c r="B653" s="114"/>
      <c r="E653" s="114"/>
      <c r="F653" s="115"/>
      <c r="G653" s="115"/>
      <c r="H653" s="115"/>
      <c r="I653" s="115"/>
    </row>
    <row r="654" ht="15.75" customHeight="1">
      <c r="B654" s="114"/>
      <c r="E654" s="114"/>
      <c r="F654" s="115"/>
      <c r="G654" s="115"/>
      <c r="H654" s="115"/>
      <c r="I654" s="115"/>
    </row>
    <row r="655" ht="15.75" customHeight="1">
      <c r="B655" s="114"/>
      <c r="E655" s="114"/>
      <c r="F655" s="115"/>
      <c r="G655" s="115"/>
      <c r="H655" s="115"/>
      <c r="I655" s="115"/>
    </row>
    <row r="656" ht="15.75" customHeight="1">
      <c r="B656" s="114"/>
      <c r="E656" s="114"/>
      <c r="F656" s="115"/>
      <c r="G656" s="115"/>
      <c r="H656" s="115"/>
      <c r="I656" s="115"/>
    </row>
    <row r="657" ht="15.75" customHeight="1">
      <c r="B657" s="114"/>
      <c r="E657" s="114"/>
      <c r="F657" s="115"/>
      <c r="G657" s="115"/>
      <c r="H657" s="115"/>
      <c r="I657" s="115"/>
    </row>
    <row r="658" ht="15.75" customHeight="1">
      <c r="B658" s="114"/>
      <c r="E658" s="114"/>
      <c r="F658" s="115"/>
      <c r="G658" s="115"/>
      <c r="H658" s="115"/>
      <c r="I658" s="115"/>
    </row>
    <row r="659" ht="15.75" customHeight="1">
      <c r="B659" s="114"/>
      <c r="E659" s="114"/>
      <c r="F659" s="115"/>
      <c r="G659" s="115"/>
      <c r="H659" s="115"/>
      <c r="I659" s="115"/>
    </row>
    <row r="660" ht="15.75" customHeight="1">
      <c r="B660" s="114"/>
      <c r="E660" s="114"/>
      <c r="F660" s="115"/>
      <c r="G660" s="115"/>
      <c r="H660" s="115"/>
      <c r="I660" s="115"/>
    </row>
    <row r="661" ht="15.75" customHeight="1">
      <c r="B661" s="114"/>
      <c r="E661" s="114"/>
      <c r="F661" s="115"/>
      <c r="G661" s="115"/>
      <c r="H661" s="115"/>
      <c r="I661" s="115"/>
    </row>
    <row r="662" ht="15.75" customHeight="1">
      <c r="B662" s="114"/>
      <c r="E662" s="114"/>
      <c r="F662" s="115"/>
      <c r="G662" s="115"/>
      <c r="H662" s="115"/>
      <c r="I662" s="115"/>
    </row>
    <row r="663" ht="15.75" customHeight="1">
      <c r="B663" s="114"/>
      <c r="E663" s="114"/>
      <c r="F663" s="115"/>
      <c r="G663" s="115"/>
      <c r="H663" s="115"/>
      <c r="I663" s="115"/>
    </row>
    <row r="664" ht="15.75" customHeight="1">
      <c r="B664" s="114"/>
      <c r="E664" s="114"/>
      <c r="F664" s="115"/>
      <c r="G664" s="115"/>
      <c r="H664" s="115"/>
      <c r="I664" s="115"/>
    </row>
    <row r="665" ht="15.75" customHeight="1">
      <c r="B665" s="114"/>
      <c r="E665" s="114"/>
      <c r="F665" s="115"/>
      <c r="G665" s="115"/>
      <c r="H665" s="115"/>
      <c r="I665" s="115"/>
    </row>
    <row r="666" ht="15.75" customHeight="1">
      <c r="B666" s="114"/>
      <c r="E666" s="114"/>
      <c r="F666" s="115"/>
      <c r="G666" s="115"/>
      <c r="H666" s="115"/>
      <c r="I666" s="115"/>
    </row>
    <row r="667" ht="15.75" customHeight="1">
      <c r="B667" s="114"/>
      <c r="E667" s="114"/>
      <c r="F667" s="115"/>
      <c r="G667" s="115"/>
      <c r="H667" s="115"/>
      <c r="I667" s="115"/>
    </row>
    <row r="668" ht="15.75" customHeight="1">
      <c r="B668" s="114"/>
      <c r="E668" s="114"/>
      <c r="F668" s="115"/>
      <c r="G668" s="115"/>
      <c r="H668" s="115"/>
      <c r="I668" s="115"/>
    </row>
    <row r="669" ht="15.75" customHeight="1">
      <c r="B669" s="114"/>
      <c r="E669" s="114"/>
      <c r="F669" s="115"/>
      <c r="G669" s="115"/>
      <c r="H669" s="115"/>
      <c r="I669" s="115"/>
    </row>
    <row r="670" ht="15.75" customHeight="1">
      <c r="B670" s="114"/>
      <c r="E670" s="114"/>
      <c r="F670" s="115"/>
      <c r="G670" s="115"/>
      <c r="H670" s="115"/>
      <c r="I670" s="115"/>
    </row>
    <row r="671" ht="15.75" customHeight="1">
      <c r="B671" s="114"/>
      <c r="E671" s="114"/>
      <c r="F671" s="115"/>
      <c r="G671" s="115"/>
      <c r="H671" s="115"/>
      <c r="I671" s="115"/>
    </row>
    <row r="672" ht="15.75" customHeight="1">
      <c r="B672" s="114"/>
      <c r="E672" s="114"/>
      <c r="F672" s="115"/>
      <c r="G672" s="115"/>
      <c r="H672" s="115"/>
      <c r="I672" s="115"/>
    </row>
    <row r="673" ht="15.75" customHeight="1">
      <c r="B673" s="114"/>
      <c r="E673" s="114"/>
      <c r="F673" s="115"/>
      <c r="G673" s="115"/>
      <c r="H673" s="115"/>
      <c r="I673" s="115"/>
    </row>
    <row r="674" ht="15.75" customHeight="1">
      <c r="B674" s="114"/>
      <c r="E674" s="114"/>
      <c r="F674" s="115"/>
      <c r="G674" s="115"/>
      <c r="H674" s="115"/>
      <c r="I674" s="115"/>
    </row>
    <row r="675" ht="15.75" customHeight="1">
      <c r="B675" s="114"/>
      <c r="E675" s="114"/>
      <c r="F675" s="115"/>
      <c r="G675" s="115"/>
      <c r="H675" s="115"/>
      <c r="I675" s="115"/>
    </row>
    <row r="676" ht="15.75" customHeight="1">
      <c r="B676" s="114"/>
      <c r="E676" s="114"/>
      <c r="F676" s="115"/>
      <c r="G676" s="115"/>
      <c r="H676" s="115"/>
      <c r="I676" s="115"/>
    </row>
    <row r="677" ht="15.75" customHeight="1">
      <c r="B677" s="114"/>
      <c r="E677" s="114"/>
      <c r="F677" s="115"/>
      <c r="G677" s="115"/>
      <c r="H677" s="115"/>
      <c r="I677" s="115"/>
    </row>
    <row r="678" ht="15.75" customHeight="1">
      <c r="B678" s="114"/>
      <c r="E678" s="114"/>
      <c r="F678" s="115"/>
      <c r="G678" s="115"/>
      <c r="H678" s="115"/>
      <c r="I678" s="115"/>
    </row>
    <row r="679" ht="15.75" customHeight="1">
      <c r="B679" s="114"/>
      <c r="E679" s="114"/>
      <c r="F679" s="115"/>
      <c r="G679" s="115"/>
      <c r="H679" s="115"/>
      <c r="I679" s="115"/>
    </row>
    <row r="680" ht="15.75" customHeight="1">
      <c r="B680" s="114"/>
      <c r="E680" s="114"/>
      <c r="F680" s="115"/>
      <c r="G680" s="115"/>
      <c r="H680" s="115"/>
      <c r="I680" s="115"/>
    </row>
    <row r="681" ht="15.75" customHeight="1">
      <c r="B681" s="114"/>
      <c r="E681" s="114"/>
      <c r="F681" s="115"/>
      <c r="G681" s="115"/>
      <c r="H681" s="115"/>
      <c r="I681" s="115"/>
    </row>
    <row r="682" ht="15.75" customHeight="1">
      <c r="B682" s="114"/>
      <c r="E682" s="114"/>
      <c r="F682" s="115"/>
      <c r="G682" s="115"/>
      <c r="H682" s="115"/>
      <c r="I682" s="115"/>
    </row>
    <row r="683" ht="15.75" customHeight="1">
      <c r="B683" s="114"/>
      <c r="E683" s="114"/>
      <c r="F683" s="115"/>
      <c r="G683" s="115"/>
      <c r="H683" s="115"/>
      <c r="I683" s="115"/>
    </row>
    <row r="684" ht="15.75" customHeight="1">
      <c r="B684" s="114"/>
      <c r="E684" s="114"/>
      <c r="F684" s="115"/>
      <c r="G684" s="115"/>
      <c r="H684" s="115"/>
      <c r="I684" s="115"/>
    </row>
    <row r="685" ht="15.75" customHeight="1">
      <c r="B685" s="114"/>
      <c r="E685" s="114"/>
      <c r="F685" s="115"/>
      <c r="G685" s="115"/>
      <c r="H685" s="115"/>
      <c r="I685" s="115"/>
    </row>
    <row r="686" ht="15.75" customHeight="1">
      <c r="B686" s="114"/>
      <c r="E686" s="114"/>
      <c r="F686" s="115"/>
      <c r="G686" s="115"/>
      <c r="H686" s="115"/>
      <c r="I686" s="115"/>
    </row>
    <row r="687" ht="15.75" customHeight="1">
      <c r="B687" s="114"/>
      <c r="E687" s="114"/>
      <c r="F687" s="115"/>
      <c r="G687" s="115"/>
      <c r="H687" s="115"/>
      <c r="I687" s="115"/>
    </row>
    <row r="688" ht="15.75" customHeight="1">
      <c r="B688" s="114"/>
      <c r="E688" s="114"/>
      <c r="F688" s="115"/>
      <c r="G688" s="115"/>
      <c r="H688" s="115"/>
      <c r="I688" s="115"/>
    </row>
    <row r="689" ht="15.75" customHeight="1">
      <c r="B689" s="114"/>
      <c r="E689" s="114"/>
      <c r="F689" s="115"/>
      <c r="G689" s="115"/>
      <c r="H689" s="115"/>
      <c r="I689" s="115"/>
    </row>
    <row r="690" ht="15.75" customHeight="1">
      <c r="B690" s="114"/>
      <c r="E690" s="114"/>
      <c r="F690" s="115"/>
      <c r="G690" s="115"/>
      <c r="H690" s="115"/>
      <c r="I690" s="115"/>
    </row>
    <row r="691" ht="15.75" customHeight="1">
      <c r="B691" s="114"/>
      <c r="E691" s="114"/>
      <c r="F691" s="115"/>
      <c r="G691" s="115"/>
      <c r="H691" s="115"/>
      <c r="I691" s="115"/>
    </row>
    <row r="692" ht="15.75" customHeight="1">
      <c r="B692" s="114"/>
      <c r="E692" s="114"/>
      <c r="F692" s="115"/>
      <c r="G692" s="115"/>
      <c r="H692" s="115"/>
      <c r="I692" s="115"/>
    </row>
    <row r="693" ht="15.75" customHeight="1">
      <c r="B693" s="114"/>
      <c r="E693" s="114"/>
      <c r="F693" s="115"/>
      <c r="G693" s="115"/>
      <c r="H693" s="115"/>
      <c r="I693" s="115"/>
    </row>
    <row r="694" ht="15.75" customHeight="1">
      <c r="B694" s="114"/>
      <c r="E694" s="114"/>
      <c r="F694" s="115"/>
      <c r="G694" s="115"/>
      <c r="H694" s="115"/>
      <c r="I694" s="115"/>
    </row>
    <row r="695" ht="15.75" customHeight="1">
      <c r="B695" s="114"/>
      <c r="E695" s="114"/>
      <c r="F695" s="115"/>
      <c r="G695" s="115"/>
      <c r="H695" s="115"/>
      <c r="I695" s="115"/>
    </row>
    <row r="696" ht="15.75" customHeight="1">
      <c r="B696" s="114"/>
      <c r="E696" s="114"/>
      <c r="F696" s="115"/>
      <c r="G696" s="115"/>
      <c r="H696" s="115"/>
      <c r="I696" s="115"/>
    </row>
    <row r="697" ht="15.75" customHeight="1">
      <c r="B697" s="114"/>
      <c r="E697" s="114"/>
      <c r="F697" s="115"/>
      <c r="G697" s="115"/>
      <c r="H697" s="115"/>
      <c r="I697" s="115"/>
    </row>
    <row r="698" ht="15.75" customHeight="1">
      <c r="B698" s="114"/>
      <c r="E698" s="114"/>
      <c r="F698" s="115"/>
      <c r="G698" s="115"/>
      <c r="H698" s="115"/>
      <c r="I698" s="115"/>
    </row>
    <row r="699" ht="15.75" customHeight="1">
      <c r="B699" s="114"/>
      <c r="E699" s="114"/>
      <c r="F699" s="115"/>
      <c r="G699" s="115"/>
      <c r="H699" s="115"/>
      <c r="I699" s="115"/>
    </row>
    <row r="700" ht="15.75" customHeight="1">
      <c r="B700" s="114"/>
      <c r="E700" s="114"/>
      <c r="F700" s="115"/>
      <c r="G700" s="115"/>
      <c r="H700" s="115"/>
      <c r="I700" s="115"/>
    </row>
    <row r="701" ht="15.75" customHeight="1">
      <c r="B701" s="114"/>
      <c r="E701" s="114"/>
      <c r="F701" s="115"/>
      <c r="G701" s="115"/>
      <c r="H701" s="115"/>
      <c r="I701" s="115"/>
    </row>
    <row r="702" ht="15.75" customHeight="1">
      <c r="B702" s="114"/>
      <c r="E702" s="114"/>
      <c r="F702" s="115"/>
      <c r="G702" s="115"/>
      <c r="H702" s="115"/>
      <c r="I702" s="115"/>
    </row>
    <row r="703" ht="15.75" customHeight="1">
      <c r="B703" s="114"/>
      <c r="E703" s="114"/>
      <c r="F703" s="115"/>
      <c r="G703" s="115"/>
      <c r="H703" s="115"/>
      <c r="I703" s="115"/>
    </row>
    <row r="704" ht="15.75" customHeight="1">
      <c r="B704" s="114"/>
      <c r="E704" s="114"/>
      <c r="F704" s="115"/>
      <c r="G704" s="115"/>
      <c r="H704" s="115"/>
      <c r="I704" s="115"/>
    </row>
    <row r="705" ht="15.75" customHeight="1">
      <c r="B705" s="114"/>
      <c r="E705" s="114"/>
      <c r="F705" s="115"/>
      <c r="G705" s="115"/>
      <c r="H705" s="115"/>
      <c r="I705" s="115"/>
    </row>
    <row r="706" ht="15.75" customHeight="1">
      <c r="B706" s="114"/>
      <c r="E706" s="114"/>
      <c r="F706" s="115"/>
      <c r="G706" s="115"/>
      <c r="H706" s="115"/>
      <c r="I706" s="115"/>
    </row>
    <row r="707" ht="15.75" customHeight="1">
      <c r="B707" s="114"/>
      <c r="E707" s="114"/>
      <c r="F707" s="115"/>
      <c r="G707" s="115"/>
      <c r="H707" s="115"/>
      <c r="I707" s="115"/>
    </row>
    <row r="708" ht="15.75" customHeight="1">
      <c r="B708" s="114"/>
      <c r="E708" s="114"/>
      <c r="F708" s="115"/>
      <c r="G708" s="115"/>
      <c r="H708" s="115"/>
      <c r="I708" s="115"/>
    </row>
    <row r="709" ht="15.75" customHeight="1">
      <c r="B709" s="114"/>
      <c r="E709" s="114"/>
      <c r="F709" s="115"/>
      <c r="G709" s="115"/>
      <c r="H709" s="115"/>
      <c r="I709" s="115"/>
    </row>
    <row r="710" ht="15.75" customHeight="1">
      <c r="B710" s="114"/>
      <c r="E710" s="114"/>
      <c r="F710" s="115"/>
      <c r="G710" s="115"/>
      <c r="H710" s="115"/>
      <c r="I710" s="115"/>
    </row>
    <row r="711" ht="15.75" customHeight="1">
      <c r="B711" s="114"/>
      <c r="E711" s="114"/>
      <c r="F711" s="115"/>
      <c r="G711" s="115"/>
      <c r="H711" s="115"/>
      <c r="I711" s="115"/>
    </row>
    <row r="712" ht="15.75" customHeight="1">
      <c r="B712" s="114"/>
      <c r="E712" s="114"/>
      <c r="F712" s="115"/>
      <c r="G712" s="115"/>
      <c r="H712" s="115"/>
      <c r="I712" s="115"/>
    </row>
    <row r="713" ht="15.75" customHeight="1">
      <c r="B713" s="114"/>
      <c r="E713" s="114"/>
      <c r="F713" s="115"/>
      <c r="G713" s="115"/>
      <c r="H713" s="115"/>
      <c r="I713" s="115"/>
    </row>
    <row r="714" ht="15.75" customHeight="1">
      <c r="B714" s="114"/>
      <c r="E714" s="114"/>
      <c r="F714" s="115"/>
      <c r="G714" s="115"/>
      <c r="H714" s="115"/>
      <c r="I714" s="115"/>
    </row>
    <row r="715" ht="15.75" customHeight="1">
      <c r="B715" s="114"/>
      <c r="E715" s="114"/>
      <c r="F715" s="115"/>
      <c r="G715" s="115"/>
      <c r="H715" s="115"/>
      <c r="I715" s="115"/>
    </row>
    <row r="716" ht="15.75" customHeight="1">
      <c r="B716" s="114"/>
      <c r="E716" s="114"/>
      <c r="F716" s="115"/>
      <c r="G716" s="115"/>
      <c r="H716" s="115"/>
      <c r="I716" s="115"/>
    </row>
    <row r="717" ht="15.75" customHeight="1">
      <c r="B717" s="114"/>
      <c r="E717" s="114"/>
      <c r="F717" s="115"/>
      <c r="G717" s="115"/>
      <c r="H717" s="115"/>
      <c r="I717" s="115"/>
    </row>
    <row r="718" ht="15.75" customHeight="1">
      <c r="B718" s="114"/>
      <c r="E718" s="114"/>
      <c r="F718" s="115"/>
      <c r="G718" s="115"/>
      <c r="H718" s="115"/>
      <c r="I718" s="115"/>
    </row>
    <row r="719" ht="15.75" customHeight="1">
      <c r="B719" s="114"/>
      <c r="E719" s="114"/>
      <c r="F719" s="115"/>
      <c r="G719" s="115"/>
      <c r="H719" s="115"/>
      <c r="I719" s="115"/>
    </row>
    <row r="720" ht="15.75" customHeight="1">
      <c r="B720" s="114"/>
      <c r="E720" s="114"/>
      <c r="F720" s="115"/>
      <c r="G720" s="115"/>
      <c r="H720" s="115"/>
      <c r="I720" s="115"/>
    </row>
    <row r="721" ht="15.75" customHeight="1">
      <c r="B721" s="114"/>
      <c r="E721" s="114"/>
      <c r="F721" s="115"/>
      <c r="G721" s="115"/>
      <c r="H721" s="115"/>
      <c r="I721" s="115"/>
    </row>
    <row r="722" ht="15.75" customHeight="1">
      <c r="B722" s="114"/>
      <c r="E722" s="114"/>
      <c r="F722" s="115"/>
      <c r="G722" s="115"/>
      <c r="H722" s="115"/>
      <c r="I722" s="115"/>
    </row>
    <row r="723" ht="15.75" customHeight="1">
      <c r="B723" s="114"/>
      <c r="E723" s="114"/>
      <c r="F723" s="115"/>
      <c r="G723" s="115"/>
      <c r="H723" s="115"/>
      <c r="I723" s="115"/>
    </row>
    <row r="724" ht="15.75" customHeight="1">
      <c r="B724" s="114"/>
      <c r="E724" s="114"/>
      <c r="F724" s="115"/>
      <c r="G724" s="115"/>
      <c r="H724" s="115"/>
      <c r="I724" s="115"/>
    </row>
    <row r="725" ht="15.75" customHeight="1">
      <c r="B725" s="114"/>
      <c r="E725" s="114"/>
      <c r="F725" s="115"/>
      <c r="G725" s="115"/>
      <c r="H725" s="115"/>
      <c r="I725" s="115"/>
    </row>
    <row r="726" ht="15.75" customHeight="1">
      <c r="B726" s="114"/>
      <c r="E726" s="114"/>
      <c r="F726" s="115"/>
      <c r="G726" s="115"/>
      <c r="H726" s="115"/>
      <c r="I726" s="115"/>
    </row>
    <row r="727" ht="15.75" customHeight="1">
      <c r="B727" s="114"/>
      <c r="E727" s="114"/>
      <c r="F727" s="115"/>
      <c r="G727" s="115"/>
      <c r="H727" s="115"/>
      <c r="I727" s="115"/>
    </row>
    <row r="728" ht="15.75" customHeight="1">
      <c r="B728" s="114"/>
      <c r="E728" s="114"/>
      <c r="F728" s="115"/>
      <c r="G728" s="115"/>
      <c r="H728" s="115"/>
      <c r="I728" s="115"/>
    </row>
    <row r="729" ht="15.75" customHeight="1">
      <c r="B729" s="114"/>
      <c r="E729" s="114"/>
      <c r="F729" s="115"/>
      <c r="G729" s="115"/>
      <c r="H729" s="115"/>
      <c r="I729" s="115"/>
    </row>
    <row r="730" ht="15.75" customHeight="1">
      <c r="B730" s="114"/>
      <c r="E730" s="114"/>
      <c r="F730" s="115"/>
      <c r="G730" s="115"/>
      <c r="H730" s="115"/>
      <c r="I730" s="115"/>
    </row>
    <row r="731" ht="15.75" customHeight="1">
      <c r="B731" s="114"/>
      <c r="E731" s="114"/>
      <c r="F731" s="115"/>
      <c r="G731" s="115"/>
      <c r="H731" s="115"/>
      <c r="I731" s="115"/>
    </row>
    <row r="732" ht="15.75" customHeight="1">
      <c r="B732" s="114"/>
      <c r="E732" s="114"/>
      <c r="F732" s="115"/>
      <c r="G732" s="115"/>
      <c r="H732" s="115"/>
      <c r="I732" s="115"/>
    </row>
    <row r="733" ht="15.75" customHeight="1">
      <c r="B733" s="114"/>
      <c r="E733" s="114"/>
      <c r="F733" s="115"/>
      <c r="G733" s="115"/>
      <c r="H733" s="115"/>
      <c r="I733" s="115"/>
    </row>
    <row r="734" ht="15.75" customHeight="1">
      <c r="B734" s="114"/>
      <c r="E734" s="114"/>
      <c r="F734" s="115"/>
      <c r="G734" s="115"/>
      <c r="H734" s="115"/>
      <c r="I734" s="115"/>
    </row>
    <row r="735" ht="15.75" customHeight="1">
      <c r="B735" s="114"/>
      <c r="E735" s="114"/>
      <c r="F735" s="115"/>
      <c r="G735" s="115"/>
      <c r="H735" s="115"/>
      <c r="I735" s="115"/>
    </row>
    <row r="736" ht="15.75" customHeight="1">
      <c r="B736" s="114"/>
      <c r="E736" s="114"/>
      <c r="F736" s="115"/>
      <c r="G736" s="115"/>
      <c r="H736" s="115"/>
      <c r="I736" s="115"/>
    </row>
    <row r="737" ht="15.75" customHeight="1">
      <c r="B737" s="114"/>
      <c r="E737" s="114"/>
      <c r="F737" s="115"/>
      <c r="G737" s="115"/>
      <c r="H737" s="115"/>
      <c r="I737" s="115"/>
    </row>
    <row r="738" ht="15.75" customHeight="1">
      <c r="B738" s="114"/>
      <c r="E738" s="114"/>
      <c r="F738" s="115"/>
      <c r="G738" s="115"/>
      <c r="H738" s="115"/>
      <c r="I738" s="115"/>
    </row>
    <row r="739" ht="15.75" customHeight="1">
      <c r="B739" s="114"/>
      <c r="E739" s="114"/>
      <c r="F739" s="115"/>
      <c r="G739" s="115"/>
      <c r="H739" s="115"/>
      <c r="I739" s="115"/>
    </row>
    <row r="740" ht="15.75" customHeight="1">
      <c r="B740" s="114"/>
      <c r="E740" s="114"/>
      <c r="F740" s="115"/>
      <c r="G740" s="115"/>
      <c r="H740" s="115"/>
      <c r="I740" s="115"/>
    </row>
    <row r="741" ht="15.75" customHeight="1">
      <c r="B741" s="114"/>
      <c r="E741" s="114"/>
      <c r="F741" s="115"/>
      <c r="G741" s="115"/>
      <c r="H741" s="115"/>
      <c r="I741" s="115"/>
    </row>
    <row r="742" ht="15.75" customHeight="1">
      <c r="B742" s="114"/>
      <c r="E742" s="114"/>
      <c r="F742" s="115"/>
      <c r="G742" s="115"/>
      <c r="H742" s="115"/>
      <c r="I742" s="115"/>
    </row>
    <row r="743" ht="15.75" customHeight="1">
      <c r="B743" s="114"/>
      <c r="E743" s="114"/>
      <c r="F743" s="115"/>
      <c r="G743" s="115"/>
      <c r="H743" s="115"/>
      <c r="I743" s="115"/>
    </row>
    <row r="744" ht="15.75" customHeight="1">
      <c r="B744" s="114"/>
      <c r="E744" s="114"/>
      <c r="F744" s="115"/>
      <c r="G744" s="115"/>
      <c r="H744" s="115"/>
      <c r="I744" s="115"/>
    </row>
    <row r="745" ht="15.75" customHeight="1">
      <c r="B745" s="114"/>
      <c r="E745" s="114"/>
      <c r="F745" s="115"/>
      <c r="G745" s="115"/>
      <c r="H745" s="115"/>
      <c r="I745" s="115"/>
    </row>
    <row r="746" ht="15.75" customHeight="1">
      <c r="B746" s="114"/>
      <c r="E746" s="114"/>
      <c r="F746" s="115"/>
      <c r="G746" s="115"/>
      <c r="H746" s="115"/>
      <c r="I746" s="115"/>
    </row>
    <row r="747" ht="15.75" customHeight="1">
      <c r="B747" s="114"/>
      <c r="E747" s="114"/>
      <c r="F747" s="115"/>
      <c r="G747" s="115"/>
      <c r="H747" s="115"/>
      <c r="I747" s="115"/>
    </row>
    <row r="748" ht="15.75" customHeight="1">
      <c r="B748" s="114"/>
      <c r="E748" s="114"/>
      <c r="F748" s="115"/>
      <c r="G748" s="115"/>
      <c r="H748" s="115"/>
      <c r="I748" s="115"/>
    </row>
    <row r="749" ht="15.75" customHeight="1">
      <c r="B749" s="114"/>
      <c r="E749" s="114"/>
      <c r="F749" s="115"/>
      <c r="G749" s="115"/>
      <c r="H749" s="115"/>
      <c r="I749" s="115"/>
    </row>
    <row r="750" ht="15.75" customHeight="1">
      <c r="B750" s="114"/>
      <c r="E750" s="114"/>
      <c r="F750" s="115"/>
      <c r="G750" s="115"/>
      <c r="H750" s="115"/>
      <c r="I750" s="115"/>
    </row>
    <row r="751" ht="15.75" customHeight="1">
      <c r="B751" s="114"/>
      <c r="E751" s="114"/>
      <c r="F751" s="115"/>
      <c r="G751" s="115"/>
      <c r="H751" s="115"/>
      <c r="I751" s="115"/>
    </row>
    <row r="752" ht="15.75" customHeight="1">
      <c r="B752" s="114"/>
      <c r="E752" s="114"/>
      <c r="F752" s="115"/>
      <c r="G752" s="115"/>
      <c r="H752" s="115"/>
      <c r="I752" s="115"/>
    </row>
    <row r="753" ht="15.75" customHeight="1">
      <c r="B753" s="114"/>
      <c r="E753" s="114"/>
      <c r="F753" s="115"/>
      <c r="G753" s="115"/>
      <c r="H753" s="115"/>
      <c r="I753" s="115"/>
    </row>
    <row r="754" ht="15.75" customHeight="1">
      <c r="B754" s="114"/>
      <c r="E754" s="114"/>
      <c r="F754" s="115"/>
      <c r="G754" s="115"/>
      <c r="H754" s="115"/>
      <c r="I754" s="115"/>
    </row>
    <row r="755" ht="15.75" customHeight="1">
      <c r="B755" s="114"/>
      <c r="E755" s="114"/>
      <c r="F755" s="115"/>
      <c r="G755" s="115"/>
      <c r="H755" s="115"/>
      <c r="I755" s="115"/>
    </row>
    <row r="756" ht="15.75" customHeight="1">
      <c r="B756" s="114"/>
      <c r="E756" s="114"/>
      <c r="F756" s="115"/>
      <c r="G756" s="115"/>
      <c r="H756" s="115"/>
      <c r="I756" s="115"/>
    </row>
    <row r="757" ht="15.75" customHeight="1">
      <c r="B757" s="114"/>
      <c r="E757" s="114"/>
      <c r="F757" s="115"/>
      <c r="G757" s="115"/>
      <c r="H757" s="115"/>
      <c r="I757" s="115"/>
    </row>
    <row r="758" ht="15.75" customHeight="1">
      <c r="B758" s="114"/>
      <c r="E758" s="114"/>
      <c r="F758" s="115"/>
      <c r="G758" s="115"/>
      <c r="H758" s="115"/>
      <c r="I758" s="115"/>
    </row>
    <row r="759" ht="15.75" customHeight="1">
      <c r="B759" s="114"/>
      <c r="E759" s="114"/>
      <c r="F759" s="115"/>
      <c r="G759" s="115"/>
      <c r="H759" s="115"/>
      <c r="I759" s="115"/>
    </row>
    <row r="760" ht="15.75" customHeight="1">
      <c r="B760" s="114"/>
      <c r="E760" s="114"/>
      <c r="F760" s="115"/>
      <c r="G760" s="115"/>
      <c r="H760" s="115"/>
      <c r="I760" s="115"/>
    </row>
    <row r="761" ht="15.75" customHeight="1">
      <c r="B761" s="114"/>
      <c r="E761" s="114"/>
      <c r="F761" s="115"/>
      <c r="G761" s="115"/>
      <c r="H761" s="115"/>
      <c r="I761" s="115"/>
    </row>
    <row r="762" ht="15.75" customHeight="1">
      <c r="B762" s="114"/>
      <c r="E762" s="114"/>
      <c r="F762" s="115"/>
      <c r="G762" s="115"/>
      <c r="H762" s="115"/>
      <c r="I762" s="115"/>
    </row>
    <row r="763" ht="15.75" customHeight="1">
      <c r="B763" s="114"/>
      <c r="E763" s="114"/>
      <c r="F763" s="115"/>
      <c r="G763" s="115"/>
      <c r="H763" s="115"/>
      <c r="I763" s="115"/>
    </row>
    <row r="764" ht="15.75" customHeight="1">
      <c r="B764" s="114"/>
      <c r="E764" s="114"/>
      <c r="F764" s="115"/>
      <c r="G764" s="115"/>
      <c r="H764" s="115"/>
      <c r="I764" s="115"/>
    </row>
    <row r="765" ht="15.75" customHeight="1">
      <c r="B765" s="114"/>
      <c r="E765" s="114"/>
      <c r="F765" s="115"/>
      <c r="G765" s="115"/>
      <c r="H765" s="115"/>
      <c r="I765" s="115"/>
    </row>
    <row r="766" ht="15.75" customHeight="1">
      <c r="B766" s="114"/>
      <c r="E766" s="114"/>
      <c r="F766" s="115"/>
      <c r="G766" s="115"/>
      <c r="H766" s="115"/>
      <c r="I766" s="115"/>
    </row>
    <row r="767" ht="15.75" customHeight="1">
      <c r="B767" s="114"/>
      <c r="E767" s="114"/>
      <c r="F767" s="115"/>
      <c r="G767" s="115"/>
      <c r="H767" s="115"/>
      <c r="I767" s="115"/>
    </row>
    <row r="768" ht="15.75" customHeight="1">
      <c r="B768" s="114"/>
      <c r="E768" s="114"/>
      <c r="F768" s="115"/>
      <c r="G768" s="115"/>
      <c r="H768" s="115"/>
      <c r="I768" s="115"/>
    </row>
    <row r="769" ht="15.75" customHeight="1">
      <c r="B769" s="114"/>
      <c r="E769" s="114"/>
      <c r="F769" s="115"/>
      <c r="G769" s="115"/>
      <c r="H769" s="115"/>
      <c r="I769" s="115"/>
    </row>
    <row r="770" ht="15.75" customHeight="1">
      <c r="B770" s="114"/>
      <c r="E770" s="114"/>
      <c r="F770" s="115"/>
      <c r="G770" s="115"/>
      <c r="H770" s="115"/>
      <c r="I770" s="115"/>
    </row>
    <row r="771" ht="15.75" customHeight="1">
      <c r="B771" s="114"/>
      <c r="E771" s="114"/>
      <c r="F771" s="115"/>
      <c r="G771" s="115"/>
      <c r="H771" s="115"/>
      <c r="I771" s="115"/>
    </row>
    <row r="772" ht="15.75" customHeight="1">
      <c r="B772" s="114"/>
      <c r="E772" s="114"/>
      <c r="F772" s="115"/>
      <c r="G772" s="115"/>
      <c r="H772" s="115"/>
      <c r="I772" s="115"/>
    </row>
    <row r="773" ht="15.75" customHeight="1">
      <c r="B773" s="114"/>
      <c r="E773" s="114"/>
      <c r="F773" s="115"/>
      <c r="G773" s="115"/>
      <c r="H773" s="115"/>
      <c r="I773" s="115"/>
    </row>
    <row r="774" ht="15.75" customHeight="1">
      <c r="B774" s="114"/>
      <c r="E774" s="114"/>
      <c r="F774" s="115"/>
      <c r="G774" s="115"/>
      <c r="H774" s="115"/>
      <c r="I774" s="115"/>
    </row>
    <row r="775" ht="15.75" customHeight="1">
      <c r="B775" s="114"/>
      <c r="E775" s="114"/>
      <c r="F775" s="115"/>
      <c r="G775" s="115"/>
      <c r="H775" s="115"/>
      <c r="I775" s="115"/>
    </row>
    <row r="776" ht="15.75" customHeight="1">
      <c r="B776" s="114"/>
      <c r="E776" s="114"/>
      <c r="F776" s="115"/>
      <c r="G776" s="115"/>
      <c r="H776" s="115"/>
      <c r="I776" s="115"/>
    </row>
    <row r="777" ht="15.75" customHeight="1">
      <c r="B777" s="114"/>
      <c r="E777" s="114"/>
      <c r="F777" s="115"/>
      <c r="G777" s="115"/>
      <c r="H777" s="115"/>
      <c r="I777" s="115"/>
    </row>
    <row r="778" ht="15.75" customHeight="1">
      <c r="B778" s="114"/>
      <c r="E778" s="114"/>
      <c r="F778" s="115"/>
      <c r="G778" s="115"/>
      <c r="H778" s="115"/>
      <c r="I778" s="115"/>
    </row>
    <row r="779" ht="15.75" customHeight="1">
      <c r="B779" s="114"/>
      <c r="E779" s="114"/>
      <c r="F779" s="115"/>
      <c r="G779" s="115"/>
      <c r="H779" s="115"/>
      <c r="I779" s="115"/>
    </row>
    <row r="780" ht="15.75" customHeight="1">
      <c r="B780" s="114"/>
      <c r="E780" s="114"/>
      <c r="F780" s="115"/>
      <c r="G780" s="115"/>
      <c r="H780" s="115"/>
      <c r="I780" s="115"/>
    </row>
    <row r="781" ht="15.75" customHeight="1">
      <c r="B781" s="114"/>
      <c r="E781" s="114"/>
      <c r="F781" s="115"/>
      <c r="G781" s="115"/>
      <c r="H781" s="115"/>
      <c r="I781" s="115"/>
    </row>
    <row r="782" ht="15.75" customHeight="1">
      <c r="B782" s="114"/>
      <c r="E782" s="114"/>
      <c r="F782" s="115"/>
      <c r="G782" s="115"/>
      <c r="H782" s="115"/>
      <c r="I782" s="115"/>
    </row>
    <row r="783" ht="15.75" customHeight="1">
      <c r="B783" s="114"/>
      <c r="E783" s="114"/>
      <c r="F783" s="115"/>
      <c r="G783" s="115"/>
      <c r="H783" s="115"/>
      <c r="I783" s="115"/>
    </row>
    <row r="784" ht="15.75" customHeight="1">
      <c r="B784" s="114"/>
      <c r="E784" s="114"/>
      <c r="F784" s="115"/>
      <c r="G784" s="115"/>
      <c r="H784" s="115"/>
      <c r="I784" s="115"/>
    </row>
    <row r="785" ht="15.75" customHeight="1">
      <c r="B785" s="114"/>
      <c r="E785" s="114"/>
      <c r="F785" s="115"/>
      <c r="G785" s="115"/>
      <c r="H785" s="115"/>
      <c r="I785" s="115"/>
    </row>
    <row r="786" ht="15.75" customHeight="1">
      <c r="B786" s="114"/>
      <c r="E786" s="114"/>
      <c r="F786" s="115"/>
      <c r="G786" s="115"/>
      <c r="H786" s="115"/>
      <c r="I786" s="115"/>
    </row>
    <row r="787" ht="15.75" customHeight="1">
      <c r="B787" s="114"/>
      <c r="E787" s="114"/>
      <c r="F787" s="115"/>
      <c r="G787" s="115"/>
      <c r="H787" s="115"/>
      <c r="I787" s="115"/>
    </row>
    <row r="788" ht="15.75" customHeight="1">
      <c r="B788" s="114"/>
      <c r="E788" s="114"/>
      <c r="F788" s="115"/>
      <c r="G788" s="115"/>
      <c r="H788" s="115"/>
      <c r="I788" s="115"/>
    </row>
    <row r="789" ht="15.75" customHeight="1">
      <c r="B789" s="114"/>
      <c r="E789" s="114"/>
      <c r="F789" s="115"/>
      <c r="G789" s="115"/>
      <c r="H789" s="115"/>
      <c r="I789" s="115"/>
    </row>
    <row r="790" ht="15.75" customHeight="1">
      <c r="B790" s="114"/>
      <c r="E790" s="114"/>
      <c r="F790" s="115"/>
      <c r="G790" s="115"/>
      <c r="H790" s="115"/>
      <c r="I790" s="115"/>
    </row>
    <row r="791" ht="15.75" customHeight="1">
      <c r="B791" s="114"/>
      <c r="E791" s="114"/>
      <c r="F791" s="115"/>
      <c r="G791" s="115"/>
      <c r="H791" s="115"/>
      <c r="I791" s="115"/>
    </row>
    <row r="792" ht="15.75" customHeight="1">
      <c r="B792" s="114"/>
      <c r="E792" s="114"/>
      <c r="F792" s="115"/>
      <c r="G792" s="115"/>
      <c r="H792" s="115"/>
      <c r="I792" s="115"/>
    </row>
    <row r="793" ht="15.75" customHeight="1">
      <c r="B793" s="114"/>
      <c r="E793" s="114"/>
      <c r="F793" s="115"/>
      <c r="G793" s="115"/>
      <c r="H793" s="115"/>
      <c r="I793" s="115"/>
    </row>
    <row r="794" ht="15.75" customHeight="1">
      <c r="B794" s="114"/>
      <c r="E794" s="114"/>
      <c r="F794" s="115"/>
      <c r="G794" s="115"/>
      <c r="H794" s="115"/>
      <c r="I794" s="115"/>
    </row>
    <row r="795" ht="15.75" customHeight="1">
      <c r="B795" s="114"/>
      <c r="E795" s="114"/>
      <c r="F795" s="115"/>
      <c r="G795" s="115"/>
      <c r="H795" s="115"/>
      <c r="I795" s="115"/>
    </row>
    <row r="796" ht="15.75" customHeight="1">
      <c r="B796" s="114"/>
      <c r="E796" s="114"/>
      <c r="F796" s="115"/>
      <c r="G796" s="115"/>
      <c r="H796" s="115"/>
      <c r="I796" s="115"/>
    </row>
    <row r="797" ht="15.75" customHeight="1">
      <c r="B797" s="114"/>
      <c r="E797" s="114"/>
      <c r="F797" s="115"/>
      <c r="G797" s="115"/>
      <c r="H797" s="115"/>
      <c r="I797" s="115"/>
    </row>
    <row r="798" ht="15.75" customHeight="1">
      <c r="B798" s="114"/>
      <c r="E798" s="114"/>
      <c r="F798" s="115"/>
      <c r="G798" s="115"/>
      <c r="H798" s="115"/>
      <c r="I798" s="115"/>
    </row>
    <row r="799" ht="15.75" customHeight="1">
      <c r="B799" s="114"/>
      <c r="E799" s="114"/>
      <c r="F799" s="115"/>
      <c r="G799" s="115"/>
      <c r="H799" s="115"/>
      <c r="I799" s="115"/>
    </row>
    <row r="800" ht="15.75" customHeight="1">
      <c r="B800" s="114"/>
      <c r="E800" s="114"/>
      <c r="F800" s="115"/>
      <c r="G800" s="115"/>
      <c r="H800" s="115"/>
      <c r="I800" s="115"/>
    </row>
    <row r="801" ht="15.75" customHeight="1">
      <c r="B801" s="114"/>
      <c r="E801" s="114"/>
      <c r="F801" s="115"/>
      <c r="G801" s="115"/>
      <c r="H801" s="115"/>
      <c r="I801" s="115"/>
    </row>
    <row r="802" ht="15.75" customHeight="1">
      <c r="B802" s="114"/>
      <c r="E802" s="114"/>
      <c r="F802" s="115"/>
      <c r="G802" s="115"/>
      <c r="H802" s="115"/>
      <c r="I802" s="115"/>
    </row>
    <row r="803" ht="15.75" customHeight="1">
      <c r="B803" s="114"/>
      <c r="E803" s="114"/>
      <c r="F803" s="115"/>
      <c r="G803" s="115"/>
      <c r="H803" s="115"/>
      <c r="I803" s="115"/>
    </row>
    <row r="804" ht="15.75" customHeight="1">
      <c r="B804" s="114"/>
      <c r="E804" s="114"/>
      <c r="F804" s="115"/>
      <c r="G804" s="115"/>
      <c r="H804" s="115"/>
      <c r="I804" s="115"/>
    </row>
    <row r="805" ht="15.75" customHeight="1">
      <c r="B805" s="114"/>
      <c r="E805" s="114"/>
      <c r="F805" s="115"/>
      <c r="G805" s="115"/>
      <c r="H805" s="115"/>
      <c r="I805" s="115"/>
    </row>
    <row r="806" ht="15.75" customHeight="1">
      <c r="B806" s="114"/>
      <c r="E806" s="114"/>
      <c r="F806" s="115"/>
      <c r="G806" s="115"/>
      <c r="H806" s="115"/>
      <c r="I806" s="115"/>
    </row>
    <row r="807" ht="15.75" customHeight="1">
      <c r="B807" s="114"/>
      <c r="E807" s="114"/>
      <c r="F807" s="115"/>
      <c r="G807" s="115"/>
      <c r="H807" s="115"/>
      <c r="I807" s="115"/>
    </row>
    <row r="808" ht="15.75" customHeight="1">
      <c r="B808" s="114"/>
      <c r="E808" s="114"/>
      <c r="F808" s="115"/>
      <c r="G808" s="115"/>
      <c r="H808" s="115"/>
      <c r="I808" s="115"/>
    </row>
    <row r="809" ht="15.75" customHeight="1">
      <c r="B809" s="114"/>
      <c r="E809" s="114"/>
      <c r="F809" s="115"/>
      <c r="G809" s="115"/>
      <c r="H809" s="115"/>
      <c r="I809" s="115"/>
    </row>
    <row r="810" ht="15.75" customHeight="1">
      <c r="B810" s="114"/>
      <c r="E810" s="114"/>
      <c r="F810" s="115"/>
      <c r="G810" s="115"/>
      <c r="H810" s="115"/>
      <c r="I810" s="115"/>
    </row>
    <row r="811" ht="15.75" customHeight="1">
      <c r="B811" s="114"/>
      <c r="E811" s="114"/>
      <c r="F811" s="115"/>
      <c r="G811" s="115"/>
      <c r="H811" s="115"/>
      <c r="I811" s="115"/>
    </row>
    <row r="812" ht="15.75" customHeight="1">
      <c r="B812" s="114"/>
      <c r="E812" s="114"/>
      <c r="F812" s="115"/>
      <c r="G812" s="115"/>
      <c r="H812" s="115"/>
      <c r="I812" s="115"/>
    </row>
    <row r="813" ht="15.75" customHeight="1">
      <c r="B813" s="114"/>
      <c r="E813" s="114"/>
      <c r="F813" s="115"/>
      <c r="G813" s="115"/>
      <c r="H813" s="115"/>
      <c r="I813" s="115"/>
    </row>
    <row r="814" ht="15.75" customHeight="1">
      <c r="B814" s="114"/>
      <c r="E814" s="114"/>
      <c r="F814" s="115"/>
      <c r="G814" s="115"/>
      <c r="H814" s="115"/>
      <c r="I814" s="115"/>
    </row>
    <row r="815" ht="15.75" customHeight="1">
      <c r="B815" s="114"/>
      <c r="E815" s="114"/>
      <c r="F815" s="115"/>
      <c r="G815" s="115"/>
      <c r="H815" s="115"/>
      <c r="I815" s="115"/>
    </row>
    <row r="816" ht="15.75" customHeight="1">
      <c r="B816" s="114"/>
      <c r="E816" s="114"/>
      <c r="F816" s="115"/>
      <c r="G816" s="115"/>
      <c r="H816" s="115"/>
      <c r="I816" s="115"/>
    </row>
    <row r="817" ht="15.75" customHeight="1">
      <c r="B817" s="114"/>
      <c r="E817" s="114"/>
      <c r="F817" s="115"/>
      <c r="G817" s="115"/>
      <c r="H817" s="115"/>
      <c r="I817" s="115"/>
    </row>
    <row r="818" ht="15.75" customHeight="1">
      <c r="B818" s="114"/>
      <c r="E818" s="114"/>
      <c r="F818" s="115"/>
      <c r="G818" s="115"/>
      <c r="H818" s="115"/>
      <c r="I818" s="115"/>
    </row>
    <row r="819" ht="15.75" customHeight="1">
      <c r="B819" s="114"/>
      <c r="E819" s="114"/>
      <c r="F819" s="115"/>
      <c r="G819" s="115"/>
      <c r="H819" s="115"/>
      <c r="I819" s="115"/>
    </row>
    <row r="820" ht="15.75" customHeight="1">
      <c r="B820" s="114"/>
      <c r="E820" s="114"/>
      <c r="F820" s="115"/>
      <c r="G820" s="115"/>
      <c r="H820" s="115"/>
      <c r="I820" s="115"/>
    </row>
    <row r="821" ht="15.75" customHeight="1">
      <c r="B821" s="114"/>
      <c r="E821" s="114"/>
      <c r="F821" s="115"/>
      <c r="G821" s="115"/>
      <c r="H821" s="115"/>
      <c r="I821" s="115"/>
    </row>
    <row r="822" ht="15.75" customHeight="1">
      <c r="B822" s="114"/>
      <c r="E822" s="114"/>
      <c r="F822" s="115"/>
      <c r="G822" s="115"/>
      <c r="H822" s="115"/>
      <c r="I822" s="115"/>
    </row>
    <row r="823" ht="15.75" customHeight="1">
      <c r="B823" s="114"/>
      <c r="E823" s="114"/>
      <c r="F823" s="115"/>
      <c r="G823" s="115"/>
      <c r="H823" s="115"/>
      <c r="I823" s="115"/>
    </row>
    <row r="824" ht="15.75" customHeight="1">
      <c r="B824" s="114"/>
      <c r="E824" s="114"/>
      <c r="F824" s="115"/>
      <c r="G824" s="115"/>
      <c r="H824" s="115"/>
      <c r="I824" s="115"/>
    </row>
    <row r="825" ht="15.75" customHeight="1">
      <c r="B825" s="114"/>
      <c r="E825" s="114"/>
      <c r="F825" s="115"/>
      <c r="G825" s="115"/>
      <c r="H825" s="115"/>
      <c r="I825" s="115"/>
    </row>
    <row r="826" ht="15.75" customHeight="1">
      <c r="B826" s="114"/>
      <c r="E826" s="114"/>
      <c r="F826" s="115"/>
      <c r="G826" s="115"/>
      <c r="H826" s="115"/>
      <c r="I826" s="115"/>
    </row>
    <row r="827" ht="15.75" customHeight="1">
      <c r="B827" s="114"/>
      <c r="E827" s="114"/>
      <c r="F827" s="115"/>
      <c r="G827" s="115"/>
      <c r="H827" s="115"/>
      <c r="I827" s="115"/>
    </row>
    <row r="828" ht="15.75" customHeight="1">
      <c r="B828" s="114"/>
      <c r="E828" s="114"/>
      <c r="F828" s="115"/>
      <c r="G828" s="115"/>
      <c r="H828" s="115"/>
      <c r="I828" s="115"/>
    </row>
    <row r="829" ht="15.75" customHeight="1">
      <c r="B829" s="114"/>
      <c r="E829" s="114"/>
      <c r="F829" s="115"/>
      <c r="G829" s="115"/>
      <c r="H829" s="115"/>
      <c r="I829" s="115"/>
    </row>
    <row r="830" ht="15.75" customHeight="1">
      <c r="B830" s="114"/>
      <c r="E830" s="114"/>
      <c r="F830" s="115"/>
      <c r="G830" s="115"/>
      <c r="H830" s="115"/>
      <c r="I830" s="115"/>
    </row>
    <row r="831" ht="15.75" customHeight="1">
      <c r="B831" s="114"/>
      <c r="E831" s="114"/>
      <c r="F831" s="115"/>
      <c r="G831" s="115"/>
      <c r="H831" s="115"/>
      <c r="I831" s="115"/>
    </row>
    <row r="832" ht="15.75" customHeight="1">
      <c r="B832" s="114"/>
      <c r="E832" s="114"/>
      <c r="F832" s="115"/>
      <c r="G832" s="115"/>
      <c r="H832" s="115"/>
      <c r="I832" s="115"/>
    </row>
    <row r="833" ht="15.75" customHeight="1">
      <c r="B833" s="114"/>
      <c r="E833" s="114"/>
      <c r="F833" s="115"/>
      <c r="G833" s="115"/>
      <c r="H833" s="115"/>
      <c r="I833" s="115"/>
    </row>
    <row r="834" ht="15.75" customHeight="1">
      <c r="B834" s="114"/>
      <c r="E834" s="114"/>
      <c r="F834" s="115"/>
      <c r="G834" s="115"/>
      <c r="H834" s="115"/>
      <c r="I834" s="115"/>
    </row>
    <row r="835" ht="15.75" customHeight="1">
      <c r="B835" s="114"/>
      <c r="E835" s="114"/>
      <c r="F835" s="115"/>
      <c r="G835" s="115"/>
      <c r="H835" s="115"/>
      <c r="I835" s="115"/>
    </row>
    <row r="836" ht="15.75" customHeight="1">
      <c r="B836" s="114"/>
      <c r="E836" s="114"/>
      <c r="F836" s="115"/>
      <c r="G836" s="115"/>
      <c r="H836" s="115"/>
      <c r="I836" s="115"/>
    </row>
    <row r="837" ht="15.75" customHeight="1">
      <c r="B837" s="114"/>
      <c r="E837" s="114"/>
      <c r="F837" s="115"/>
      <c r="G837" s="115"/>
      <c r="H837" s="115"/>
      <c r="I837" s="115"/>
    </row>
    <row r="838" ht="15.75" customHeight="1">
      <c r="B838" s="114"/>
      <c r="E838" s="114"/>
      <c r="F838" s="115"/>
      <c r="G838" s="115"/>
      <c r="H838" s="115"/>
      <c r="I838" s="115"/>
    </row>
    <row r="839" ht="15.75" customHeight="1">
      <c r="B839" s="114"/>
      <c r="E839" s="114"/>
      <c r="F839" s="115"/>
      <c r="G839" s="115"/>
      <c r="H839" s="115"/>
      <c r="I839" s="115"/>
    </row>
    <row r="840" ht="15.75" customHeight="1">
      <c r="B840" s="114"/>
      <c r="E840" s="114"/>
      <c r="F840" s="115"/>
      <c r="G840" s="115"/>
      <c r="H840" s="115"/>
      <c r="I840" s="115"/>
    </row>
    <row r="841" ht="15.75" customHeight="1">
      <c r="B841" s="114"/>
      <c r="E841" s="114"/>
      <c r="F841" s="115"/>
      <c r="G841" s="115"/>
      <c r="H841" s="115"/>
      <c r="I841" s="115"/>
    </row>
    <row r="842" ht="15.75" customHeight="1">
      <c r="B842" s="114"/>
      <c r="E842" s="114"/>
      <c r="F842" s="115"/>
      <c r="G842" s="115"/>
      <c r="H842" s="115"/>
      <c r="I842" s="115"/>
    </row>
    <row r="843" ht="15.75" customHeight="1">
      <c r="B843" s="114"/>
      <c r="E843" s="114"/>
      <c r="F843" s="115"/>
      <c r="G843" s="115"/>
      <c r="H843" s="115"/>
      <c r="I843" s="115"/>
    </row>
    <row r="844" ht="15.75" customHeight="1">
      <c r="B844" s="114"/>
      <c r="E844" s="114"/>
      <c r="F844" s="115"/>
      <c r="G844" s="115"/>
      <c r="H844" s="115"/>
      <c r="I844" s="115"/>
    </row>
    <row r="845" ht="15.75" customHeight="1">
      <c r="B845" s="114"/>
      <c r="E845" s="114"/>
      <c r="F845" s="115"/>
      <c r="G845" s="115"/>
      <c r="H845" s="115"/>
      <c r="I845" s="115"/>
    </row>
    <row r="846" ht="15.75" customHeight="1">
      <c r="B846" s="114"/>
      <c r="E846" s="114"/>
      <c r="F846" s="115"/>
      <c r="G846" s="115"/>
      <c r="H846" s="115"/>
      <c r="I846" s="115"/>
    </row>
    <row r="847" ht="15.75" customHeight="1">
      <c r="B847" s="114"/>
      <c r="E847" s="114"/>
      <c r="F847" s="115"/>
      <c r="G847" s="115"/>
      <c r="H847" s="115"/>
      <c r="I847" s="115"/>
    </row>
    <row r="848" ht="15.75" customHeight="1">
      <c r="B848" s="114"/>
      <c r="E848" s="114"/>
      <c r="F848" s="115"/>
      <c r="G848" s="115"/>
      <c r="H848" s="115"/>
      <c r="I848" s="115"/>
    </row>
    <row r="849" ht="15.75" customHeight="1">
      <c r="B849" s="114"/>
      <c r="E849" s="114"/>
      <c r="F849" s="115"/>
      <c r="G849" s="115"/>
      <c r="H849" s="115"/>
      <c r="I849" s="115"/>
    </row>
    <row r="850" ht="15.75" customHeight="1">
      <c r="B850" s="114"/>
      <c r="E850" s="114"/>
      <c r="F850" s="115"/>
      <c r="G850" s="115"/>
      <c r="H850" s="115"/>
      <c r="I850" s="115"/>
    </row>
    <row r="851" ht="15.75" customHeight="1">
      <c r="B851" s="114"/>
      <c r="E851" s="114"/>
      <c r="F851" s="115"/>
      <c r="G851" s="115"/>
      <c r="H851" s="115"/>
      <c r="I851" s="115"/>
    </row>
    <row r="852" ht="15.75" customHeight="1">
      <c r="B852" s="114"/>
      <c r="E852" s="114"/>
      <c r="F852" s="115"/>
      <c r="G852" s="115"/>
      <c r="H852" s="115"/>
      <c r="I852" s="115"/>
    </row>
    <row r="853" ht="15.75" customHeight="1">
      <c r="B853" s="114"/>
      <c r="E853" s="114"/>
      <c r="F853" s="115"/>
      <c r="G853" s="115"/>
      <c r="H853" s="115"/>
      <c r="I853" s="115"/>
    </row>
    <row r="854" ht="15.75" customHeight="1">
      <c r="B854" s="114"/>
      <c r="E854" s="114"/>
      <c r="F854" s="115"/>
      <c r="G854" s="115"/>
      <c r="H854" s="115"/>
      <c r="I854" s="115"/>
    </row>
    <row r="855" ht="15.75" customHeight="1">
      <c r="B855" s="114"/>
      <c r="E855" s="114"/>
      <c r="F855" s="115"/>
      <c r="G855" s="115"/>
      <c r="H855" s="115"/>
      <c r="I855" s="115"/>
    </row>
    <row r="856" ht="15.75" customHeight="1">
      <c r="B856" s="114"/>
      <c r="E856" s="114"/>
      <c r="F856" s="115"/>
      <c r="G856" s="115"/>
      <c r="H856" s="115"/>
      <c r="I856" s="115"/>
    </row>
    <row r="857" ht="15.75" customHeight="1">
      <c r="B857" s="114"/>
      <c r="E857" s="114"/>
      <c r="F857" s="115"/>
      <c r="G857" s="115"/>
      <c r="H857" s="115"/>
      <c r="I857" s="115"/>
    </row>
    <row r="858" ht="15.75" customHeight="1">
      <c r="B858" s="114"/>
      <c r="E858" s="114"/>
      <c r="F858" s="115"/>
      <c r="G858" s="115"/>
      <c r="H858" s="115"/>
      <c r="I858" s="115"/>
    </row>
    <row r="859" ht="15.75" customHeight="1">
      <c r="B859" s="114"/>
      <c r="E859" s="114"/>
      <c r="F859" s="115"/>
      <c r="G859" s="115"/>
      <c r="H859" s="115"/>
      <c r="I859" s="115"/>
    </row>
    <row r="860" ht="15.75" customHeight="1">
      <c r="B860" s="114"/>
      <c r="E860" s="114"/>
      <c r="F860" s="115"/>
      <c r="G860" s="115"/>
      <c r="H860" s="115"/>
      <c r="I860" s="115"/>
    </row>
    <row r="861" ht="15.75" customHeight="1">
      <c r="B861" s="114"/>
      <c r="E861" s="114"/>
      <c r="F861" s="115"/>
      <c r="G861" s="115"/>
      <c r="H861" s="115"/>
      <c r="I861" s="115"/>
    </row>
    <row r="862" ht="15.75" customHeight="1">
      <c r="B862" s="114"/>
      <c r="E862" s="114"/>
      <c r="F862" s="115"/>
      <c r="G862" s="115"/>
      <c r="H862" s="115"/>
      <c r="I862" s="115"/>
    </row>
    <row r="863" ht="15.75" customHeight="1">
      <c r="B863" s="114"/>
      <c r="E863" s="114"/>
      <c r="F863" s="115"/>
      <c r="G863" s="115"/>
      <c r="H863" s="115"/>
      <c r="I863" s="115"/>
    </row>
    <row r="864" ht="15.75" customHeight="1">
      <c r="B864" s="114"/>
      <c r="E864" s="114"/>
      <c r="F864" s="115"/>
      <c r="G864" s="115"/>
      <c r="H864" s="115"/>
      <c r="I864" s="115"/>
    </row>
    <row r="865" ht="15.75" customHeight="1">
      <c r="B865" s="114"/>
      <c r="E865" s="114"/>
      <c r="F865" s="115"/>
      <c r="G865" s="115"/>
      <c r="H865" s="115"/>
      <c r="I865" s="115"/>
    </row>
    <row r="866" ht="15.75" customHeight="1">
      <c r="B866" s="114"/>
      <c r="E866" s="114"/>
      <c r="F866" s="115"/>
      <c r="G866" s="115"/>
      <c r="H866" s="115"/>
      <c r="I866" s="115"/>
    </row>
    <row r="867" ht="15.75" customHeight="1">
      <c r="B867" s="114"/>
      <c r="E867" s="114"/>
      <c r="F867" s="115"/>
      <c r="G867" s="115"/>
      <c r="H867" s="115"/>
      <c r="I867" s="115"/>
    </row>
    <row r="868" ht="15.75" customHeight="1">
      <c r="B868" s="114"/>
      <c r="E868" s="114"/>
      <c r="F868" s="115"/>
      <c r="G868" s="115"/>
      <c r="H868" s="115"/>
      <c r="I868" s="115"/>
    </row>
    <row r="869" ht="15.75" customHeight="1">
      <c r="B869" s="114"/>
      <c r="E869" s="114"/>
      <c r="F869" s="115"/>
      <c r="G869" s="115"/>
      <c r="H869" s="115"/>
      <c r="I869" s="115"/>
    </row>
    <row r="870" ht="15.75" customHeight="1">
      <c r="B870" s="114"/>
      <c r="E870" s="114"/>
      <c r="F870" s="115"/>
      <c r="G870" s="115"/>
      <c r="H870" s="115"/>
      <c r="I870" s="115"/>
    </row>
    <row r="871" ht="15.75" customHeight="1">
      <c r="B871" s="114"/>
      <c r="E871" s="114"/>
      <c r="F871" s="115"/>
      <c r="G871" s="115"/>
      <c r="H871" s="115"/>
      <c r="I871" s="115"/>
    </row>
    <row r="872" ht="15.75" customHeight="1">
      <c r="B872" s="114"/>
      <c r="E872" s="114"/>
      <c r="F872" s="115"/>
      <c r="G872" s="115"/>
      <c r="H872" s="115"/>
      <c r="I872" s="115"/>
    </row>
    <row r="873" ht="15.75" customHeight="1">
      <c r="B873" s="114"/>
      <c r="E873" s="114"/>
      <c r="F873" s="115"/>
      <c r="G873" s="115"/>
      <c r="H873" s="115"/>
      <c r="I873" s="115"/>
    </row>
    <row r="874" ht="15.75" customHeight="1">
      <c r="B874" s="114"/>
      <c r="E874" s="114"/>
      <c r="F874" s="115"/>
      <c r="G874" s="115"/>
      <c r="H874" s="115"/>
      <c r="I874" s="115"/>
    </row>
    <row r="875" ht="15.75" customHeight="1">
      <c r="B875" s="114"/>
      <c r="E875" s="114"/>
      <c r="F875" s="115"/>
      <c r="G875" s="115"/>
      <c r="H875" s="115"/>
      <c r="I875" s="115"/>
    </row>
    <row r="876" ht="15.75" customHeight="1">
      <c r="B876" s="114"/>
      <c r="E876" s="114"/>
      <c r="F876" s="115"/>
      <c r="G876" s="115"/>
      <c r="H876" s="115"/>
      <c r="I876" s="115"/>
    </row>
    <row r="877" ht="15.75" customHeight="1">
      <c r="B877" s="114"/>
      <c r="E877" s="114"/>
      <c r="F877" s="115"/>
      <c r="G877" s="115"/>
      <c r="H877" s="115"/>
      <c r="I877" s="115"/>
    </row>
    <row r="878" ht="15.75" customHeight="1">
      <c r="B878" s="114"/>
      <c r="E878" s="114"/>
      <c r="F878" s="115"/>
      <c r="G878" s="115"/>
      <c r="H878" s="115"/>
      <c r="I878" s="115"/>
    </row>
    <row r="879" ht="15.75" customHeight="1">
      <c r="B879" s="114"/>
      <c r="E879" s="114"/>
      <c r="F879" s="115"/>
      <c r="G879" s="115"/>
      <c r="H879" s="115"/>
      <c r="I879" s="115"/>
    </row>
    <row r="880" ht="15.75" customHeight="1">
      <c r="B880" s="114"/>
      <c r="E880" s="114"/>
      <c r="F880" s="115"/>
      <c r="G880" s="115"/>
      <c r="H880" s="115"/>
      <c r="I880" s="115"/>
    </row>
    <row r="881" ht="15.75" customHeight="1">
      <c r="B881" s="114"/>
      <c r="E881" s="114"/>
      <c r="F881" s="115"/>
      <c r="G881" s="115"/>
      <c r="H881" s="115"/>
      <c r="I881" s="115"/>
    </row>
    <row r="882" ht="15.75" customHeight="1">
      <c r="B882" s="114"/>
      <c r="E882" s="114"/>
      <c r="F882" s="115"/>
      <c r="G882" s="115"/>
      <c r="H882" s="115"/>
      <c r="I882" s="115"/>
    </row>
    <row r="883" ht="15.75" customHeight="1">
      <c r="B883" s="114"/>
      <c r="E883" s="114"/>
      <c r="F883" s="115"/>
      <c r="G883" s="115"/>
      <c r="H883" s="115"/>
      <c r="I883" s="115"/>
    </row>
    <row r="884" ht="15.75" customHeight="1">
      <c r="B884" s="114"/>
      <c r="E884" s="114"/>
      <c r="F884" s="115"/>
      <c r="G884" s="115"/>
      <c r="H884" s="115"/>
      <c r="I884" s="115"/>
    </row>
    <row r="885" ht="15.75" customHeight="1">
      <c r="B885" s="114"/>
      <c r="E885" s="114"/>
      <c r="F885" s="115"/>
      <c r="G885" s="115"/>
      <c r="H885" s="115"/>
      <c r="I885" s="115"/>
    </row>
    <row r="886" ht="15.75" customHeight="1">
      <c r="B886" s="114"/>
      <c r="E886" s="114"/>
      <c r="F886" s="115"/>
      <c r="G886" s="115"/>
      <c r="H886" s="115"/>
      <c r="I886" s="115"/>
    </row>
    <row r="887" ht="15.75" customHeight="1">
      <c r="B887" s="114"/>
      <c r="E887" s="114"/>
      <c r="F887" s="115"/>
      <c r="G887" s="115"/>
      <c r="H887" s="115"/>
      <c r="I887" s="115"/>
    </row>
    <row r="888" ht="15.75" customHeight="1">
      <c r="B888" s="114"/>
      <c r="E888" s="114"/>
      <c r="F888" s="115"/>
      <c r="G888" s="115"/>
      <c r="H888" s="115"/>
      <c r="I888" s="115"/>
    </row>
    <row r="889" ht="15.75" customHeight="1">
      <c r="B889" s="114"/>
      <c r="E889" s="114"/>
      <c r="F889" s="115"/>
      <c r="G889" s="115"/>
      <c r="H889" s="115"/>
      <c r="I889" s="115"/>
    </row>
    <row r="890" ht="15.75" customHeight="1">
      <c r="B890" s="114"/>
      <c r="E890" s="114"/>
      <c r="F890" s="115"/>
      <c r="G890" s="115"/>
      <c r="H890" s="115"/>
      <c r="I890" s="115"/>
    </row>
    <row r="891" ht="15.75" customHeight="1">
      <c r="B891" s="114"/>
      <c r="E891" s="114"/>
      <c r="F891" s="115"/>
      <c r="G891" s="115"/>
      <c r="H891" s="115"/>
      <c r="I891" s="115"/>
    </row>
    <row r="892" ht="15.75" customHeight="1">
      <c r="B892" s="114"/>
      <c r="E892" s="114"/>
      <c r="F892" s="115"/>
      <c r="G892" s="115"/>
      <c r="H892" s="115"/>
      <c r="I892" s="115"/>
    </row>
    <row r="893" ht="15.75" customHeight="1">
      <c r="B893" s="114"/>
      <c r="E893" s="114"/>
      <c r="F893" s="115"/>
      <c r="G893" s="115"/>
      <c r="H893" s="115"/>
      <c r="I893" s="115"/>
    </row>
    <row r="894" ht="15.75" customHeight="1">
      <c r="B894" s="114"/>
      <c r="E894" s="114"/>
      <c r="F894" s="115"/>
      <c r="G894" s="115"/>
      <c r="H894" s="115"/>
      <c r="I894" s="115"/>
    </row>
    <row r="895" ht="15.75" customHeight="1">
      <c r="B895" s="114"/>
      <c r="E895" s="114"/>
      <c r="F895" s="115"/>
      <c r="G895" s="115"/>
      <c r="H895" s="115"/>
      <c r="I895" s="115"/>
    </row>
    <row r="896" ht="15.75" customHeight="1">
      <c r="B896" s="114"/>
      <c r="E896" s="114"/>
      <c r="F896" s="115"/>
      <c r="G896" s="115"/>
      <c r="H896" s="115"/>
      <c r="I896" s="115"/>
    </row>
    <row r="897" ht="15.75" customHeight="1">
      <c r="B897" s="114"/>
      <c r="E897" s="114"/>
      <c r="F897" s="115"/>
      <c r="G897" s="115"/>
      <c r="H897" s="115"/>
      <c r="I897" s="115"/>
    </row>
    <row r="898" ht="15.75" customHeight="1">
      <c r="B898" s="114"/>
      <c r="E898" s="114"/>
      <c r="F898" s="115"/>
      <c r="G898" s="115"/>
      <c r="H898" s="115"/>
      <c r="I898" s="115"/>
    </row>
    <row r="899" ht="15.75" customHeight="1">
      <c r="B899" s="114"/>
      <c r="E899" s="114"/>
      <c r="F899" s="115"/>
      <c r="G899" s="115"/>
      <c r="H899" s="115"/>
      <c r="I899" s="115"/>
    </row>
    <row r="900" ht="15.75" customHeight="1">
      <c r="B900" s="114"/>
      <c r="E900" s="114"/>
      <c r="F900" s="115"/>
      <c r="G900" s="115"/>
      <c r="H900" s="115"/>
      <c r="I900" s="115"/>
    </row>
    <row r="901" ht="15.75" customHeight="1">
      <c r="B901" s="114"/>
      <c r="E901" s="114"/>
      <c r="F901" s="115"/>
      <c r="G901" s="115"/>
      <c r="H901" s="115"/>
      <c r="I901" s="115"/>
    </row>
    <row r="902" ht="15.75" customHeight="1">
      <c r="B902" s="114"/>
      <c r="E902" s="114"/>
      <c r="F902" s="115"/>
      <c r="G902" s="115"/>
      <c r="H902" s="115"/>
      <c r="I902" s="115"/>
    </row>
    <row r="903" ht="15.75" customHeight="1">
      <c r="B903" s="114"/>
      <c r="E903" s="114"/>
      <c r="F903" s="115"/>
      <c r="G903" s="115"/>
      <c r="H903" s="115"/>
      <c r="I903" s="115"/>
    </row>
    <row r="904" ht="15.75" customHeight="1">
      <c r="B904" s="114"/>
      <c r="E904" s="114"/>
      <c r="F904" s="115"/>
      <c r="G904" s="115"/>
      <c r="H904" s="115"/>
      <c r="I904" s="115"/>
    </row>
    <row r="905" ht="15.75" customHeight="1">
      <c r="B905" s="114"/>
      <c r="E905" s="114"/>
      <c r="F905" s="115"/>
      <c r="G905" s="115"/>
      <c r="H905" s="115"/>
      <c r="I905" s="115"/>
    </row>
    <row r="906" ht="15.75" customHeight="1">
      <c r="B906" s="114"/>
      <c r="E906" s="114"/>
      <c r="F906" s="115"/>
      <c r="G906" s="115"/>
      <c r="H906" s="115"/>
      <c r="I906" s="115"/>
    </row>
    <row r="907" ht="15.75" customHeight="1">
      <c r="B907" s="114"/>
      <c r="E907" s="114"/>
      <c r="F907" s="115"/>
      <c r="G907" s="115"/>
      <c r="H907" s="115"/>
      <c r="I907" s="115"/>
    </row>
    <row r="908" ht="15.75" customHeight="1">
      <c r="B908" s="114"/>
      <c r="E908" s="114"/>
      <c r="F908" s="115"/>
      <c r="G908" s="115"/>
      <c r="H908" s="115"/>
      <c r="I908" s="115"/>
    </row>
    <row r="909" ht="15.75" customHeight="1">
      <c r="B909" s="114"/>
      <c r="E909" s="114"/>
      <c r="F909" s="115"/>
      <c r="G909" s="115"/>
      <c r="H909" s="115"/>
      <c r="I909" s="115"/>
    </row>
    <row r="910" ht="15.75" customHeight="1">
      <c r="B910" s="114"/>
      <c r="E910" s="114"/>
      <c r="F910" s="115"/>
      <c r="G910" s="115"/>
      <c r="H910" s="115"/>
      <c r="I910" s="115"/>
    </row>
    <row r="911" ht="15.75" customHeight="1">
      <c r="B911" s="114"/>
      <c r="E911" s="114"/>
      <c r="F911" s="115"/>
      <c r="G911" s="115"/>
      <c r="H911" s="115"/>
      <c r="I911" s="115"/>
    </row>
    <row r="912" ht="15.75" customHeight="1">
      <c r="B912" s="114"/>
      <c r="E912" s="114"/>
      <c r="F912" s="115"/>
      <c r="G912" s="115"/>
      <c r="H912" s="115"/>
      <c r="I912" s="115"/>
    </row>
    <row r="913" ht="15.75" customHeight="1">
      <c r="B913" s="114"/>
      <c r="E913" s="114"/>
      <c r="F913" s="115"/>
      <c r="G913" s="115"/>
      <c r="H913" s="115"/>
      <c r="I913" s="115"/>
    </row>
    <row r="914" ht="15.75" customHeight="1">
      <c r="B914" s="114"/>
      <c r="E914" s="114"/>
      <c r="F914" s="115"/>
      <c r="G914" s="115"/>
      <c r="H914" s="115"/>
      <c r="I914" s="115"/>
    </row>
    <row r="915" ht="15.75" customHeight="1">
      <c r="B915" s="114"/>
      <c r="E915" s="114"/>
      <c r="F915" s="115"/>
      <c r="G915" s="115"/>
      <c r="H915" s="115"/>
      <c r="I915" s="115"/>
    </row>
    <row r="916" ht="15.75" customHeight="1">
      <c r="B916" s="114"/>
      <c r="E916" s="114"/>
      <c r="F916" s="115"/>
      <c r="G916" s="115"/>
      <c r="H916" s="115"/>
      <c r="I916" s="115"/>
    </row>
    <row r="917" ht="15.75" customHeight="1">
      <c r="B917" s="114"/>
      <c r="E917" s="114"/>
      <c r="F917" s="115"/>
      <c r="G917" s="115"/>
      <c r="H917" s="115"/>
      <c r="I917" s="115"/>
    </row>
    <row r="918" ht="15.75" customHeight="1">
      <c r="B918" s="114"/>
      <c r="E918" s="114"/>
      <c r="F918" s="115"/>
      <c r="G918" s="115"/>
      <c r="H918" s="115"/>
      <c r="I918" s="115"/>
    </row>
    <row r="919" ht="15.75" customHeight="1">
      <c r="B919" s="114"/>
      <c r="E919" s="114"/>
      <c r="F919" s="115"/>
      <c r="G919" s="115"/>
      <c r="H919" s="115"/>
      <c r="I919" s="115"/>
    </row>
    <row r="920" ht="15.75" customHeight="1">
      <c r="B920" s="114"/>
      <c r="E920" s="114"/>
      <c r="F920" s="115"/>
      <c r="G920" s="115"/>
      <c r="H920" s="115"/>
      <c r="I920" s="115"/>
    </row>
    <row r="921" ht="15.75" customHeight="1">
      <c r="B921" s="114"/>
      <c r="E921" s="114"/>
      <c r="F921" s="115"/>
      <c r="G921" s="115"/>
      <c r="H921" s="115"/>
      <c r="I921" s="115"/>
    </row>
    <row r="922" ht="15.75" customHeight="1">
      <c r="B922" s="114"/>
      <c r="E922" s="114"/>
      <c r="F922" s="115"/>
      <c r="G922" s="115"/>
      <c r="H922" s="115"/>
      <c r="I922" s="115"/>
    </row>
    <row r="923" ht="15.75" customHeight="1">
      <c r="B923" s="114"/>
      <c r="E923" s="114"/>
      <c r="F923" s="115"/>
      <c r="G923" s="115"/>
      <c r="H923" s="115"/>
      <c r="I923" s="115"/>
    </row>
    <row r="924" ht="15.75" customHeight="1">
      <c r="B924" s="114"/>
      <c r="E924" s="114"/>
      <c r="F924" s="115"/>
      <c r="G924" s="115"/>
      <c r="H924" s="115"/>
      <c r="I924" s="115"/>
    </row>
    <row r="925" ht="15.75" customHeight="1">
      <c r="B925" s="114"/>
      <c r="E925" s="114"/>
      <c r="F925" s="115"/>
      <c r="G925" s="115"/>
      <c r="H925" s="115"/>
      <c r="I925" s="115"/>
    </row>
    <row r="926" ht="15.75" customHeight="1">
      <c r="B926" s="114"/>
      <c r="E926" s="114"/>
      <c r="F926" s="115"/>
      <c r="G926" s="115"/>
      <c r="H926" s="115"/>
      <c r="I926" s="115"/>
    </row>
    <row r="927" ht="15.75" customHeight="1">
      <c r="B927" s="114"/>
      <c r="E927" s="114"/>
      <c r="F927" s="115"/>
      <c r="G927" s="115"/>
      <c r="H927" s="115"/>
      <c r="I927" s="115"/>
    </row>
    <row r="928" ht="15.75" customHeight="1">
      <c r="B928" s="114"/>
      <c r="E928" s="114"/>
      <c r="F928" s="115"/>
      <c r="G928" s="115"/>
      <c r="H928" s="115"/>
      <c r="I928" s="115"/>
    </row>
    <row r="929" ht="15.75" customHeight="1">
      <c r="B929" s="114"/>
      <c r="E929" s="114"/>
      <c r="F929" s="115"/>
      <c r="G929" s="115"/>
      <c r="H929" s="115"/>
      <c r="I929" s="115"/>
    </row>
    <row r="930" ht="15.75" customHeight="1">
      <c r="B930" s="114"/>
      <c r="E930" s="114"/>
      <c r="F930" s="115"/>
      <c r="G930" s="115"/>
      <c r="H930" s="115"/>
      <c r="I930" s="115"/>
    </row>
    <row r="931" ht="15.75" customHeight="1">
      <c r="B931" s="114"/>
      <c r="E931" s="114"/>
      <c r="F931" s="115"/>
      <c r="G931" s="115"/>
      <c r="H931" s="115"/>
      <c r="I931" s="115"/>
    </row>
    <row r="932" ht="15.75" customHeight="1">
      <c r="B932" s="114"/>
      <c r="E932" s="114"/>
      <c r="F932" s="115"/>
      <c r="G932" s="115"/>
      <c r="H932" s="115"/>
      <c r="I932" s="115"/>
    </row>
    <row r="933" ht="15.75" customHeight="1">
      <c r="B933" s="114"/>
      <c r="E933" s="114"/>
      <c r="F933" s="115"/>
      <c r="G933" s="115"/>
      <c r="H933" s="115"/>
      <c r="I933" s="115"/>
    </row>
    <row r="934" ht="15.75" customHeight="1">
      <c r="B934" s="114"/>
      <c r="E934" s="114"/>
      <c r="F934" s="115"/>
      <c r="G934" s="115"/>
      <c r="H934" s="115"/>
      <c r="I934" s="115"/>
    </row>
    <row r="935" ht="15.75" customHeight="1">
      <c r="B935" s="114"/>
      <c r="E935" s="114"/>
      <c r="F935" s="115"/>
      <c r="G935" s="115"/>
      <c r="H935" s="115"/>
      <c r="I935" s="115"/>
    </row>
    <row r="936" ht="15.75" customHeight="1">
      <c r="B936" s="114"/>
      <c r="E936" s="114"/>
      <c r="F936" s="115"/>
      <c r="G936" s="115"/>
      <c r="H936" s="115"/>
      <c r="I936" s="115"/>
    </row>
    <row r="937" ht="15.75" customHeight="1">
      <c r="B937" s="114"/>
      <c r="E937" s="114"/>
      <c r="F937" s="115"/>
      <c r="G937" s="115"/>
      <c r="H937" s="115"/>
      <c r="I937" s="115"/>
    </row>
    <row r="938" ht="15.75" customHeight="1">
      <c r="B938" s="114"/>
      <c r="E938" s="114"/>
      <c r="F938" s="115"/>
      <c r="G938" s="115"/>
      <c r="H938" s="115"/>
      <c r="I938" s="115"/>
    </row>
    <row r="939" ht="15.75" customHeight="1">
      <c r="B939" s="114"/>
      <c r="E939" s="114"/>
      <c r="F939" s="115"/>
      <c r="G939" s="115"/>
      <c r="H939" s="115"/>
      <c r="I939" s="115"/>
    </row>
    <row r="940" ht="15.75" customHeight="1">
      <c r="B940" s="114"/>
      <c r="E940" s="114"/>
      <c r="F940" s="115"/>
      <c r="G940" s="115"/>
      <c r="H940" s="115"/>
      <c r="I940" s="115"/>
    </row>
    <row r="941" ht="15.75" customHeight="1">
      <c r="B941" s="114"/>
      <c r="E941" s="114"/>
      <c r="F941" s="115"/>
      <c r="G941" s="115"/>
      <c r="H941" s="115"/>
      <c r="I941" s="115"/>
    </row>
    <row r="942" ht="15.75" customHeight="1">
      <c r="B942" s="114"/>
      <c r="E942" s="114"/>
      <c r="F942" s="115"/>
      <c r="G942" s="115"/>
      <c r="H942" s="115"/>
      <c r="I942" s="115"/>
    </row>
    <row r="943" ht="15.75" customHeight="1">
      <c r="B943" s="114"/>
      <c r="E943" s="114"/>
      <c r="F943" s="115"/>
      <c r="G943" s="115"/>
      <c r="H943" s="115"/>
      <c r="I943" s="115"/>
    </row>
    <row r="944" ht="15.75" customHeight="1">
      <c r="B944" s="114"/>
      <c r="E944" s="114"/>
      <c r="F944" s="115"/>
      <c r="G944" s="115"/>
      <c r="H944" s="115"/>
      <c r="I944" s="115"/>
    </row>
    <row r="945" ht="15.75" customHeight="1">
      <c r="B945" s="114"/>
      <c r="E945" s="114"/>
      <c r="F945" s="115"/>
      <c r="G945" s="115"/>
      <c r="H945" s="115"/>
      <c r="I945" s="115"/>
    </row>
    <row r="946" ht="15.75" customHeight="1">
      <c r="B946" s="114"/>
      <c r="E946" s="114"/>
      <c r="F946" s="115"/>
      <c r="G946" s="115"/>
      <c r="H946" s="115"/>
      <c r="I946" s="115"/>
    </row>
    <row r="947" ht="15.75" customHeight="1">
      <c r="B947" s="114"/>
      <c r="E947" s="114"/>
      <c r="F947" s="115"/>
      <c r="G947" s="115"/>
      <c r="H947" s="115"/>
      <c r="I947" s="115"/>
    </row>
    <row r="948" ht="15.75" customHeight="1">
      <c r="B948" s="114"/>
      <c r="E948" s="114"/>
      <c r="F948" s="115"/>
      <c r="G948" s="115"/>
      <c r="H948" s="115"/>
      <c r="I948" s="115"/>
    </row>
    <row r="949" ht="15.75" customHeight="1">
      <c r="B949" s="114"/>
      <c r="E949" s="114"/>
      <c r="F949" s="115"/>
      <c r="G949" s="115"/>
      <c r="H949" s="115"/>
      <c r="I949" s="115"/>
    </row>
    <row r="950" ht="15.75" customHeight="1">
      <c r="B950" s="114"/>
      <c r="E950" s="114"/>
      <c r="F950" s="115"/>
      <c r="G950" s="115"/>
      <c r="H950" s="115"/>
      <c r="I950" s="115"/>
    </row>
    <row r="951" ht="15.75" customHeight="1">
      <c r="B951" s="114"/>
      <c r="E951" s="114"/>
      <c r="F951" s="115"/>
      <c r="G951" s="115"/>
      <c r="H951" s="115"/>
      <c r="I951" s="115"/>
    </row>
    <row r="952" ht="15.75" customHeight="1">
      <c r="B952" s="114"/>
      <c r="E952" s="114"/>
      <c r="F952" s="115"/>
      <c r="G952" s="115"/>
      <c r="H952" s="115"/>
      <c r="I952" s="115"/>
    </row>
    <row r="953" ht="15.75" customHeight="1">
      <c r="B953" s="114"/>
      <c r="E953" s="114"/>
      <c r="F953" s="115"/>
      <c r="G953" s="115"/>
      <c r="H953" s="115"/>
      <c r="I953" s="115"/>
    </row>
    <row r="954" ht="15.75" customHeight="1">
      <c r="B954" s="114"/>
      <c r="E954" s="114"/>
      <c r="F954" s="115"/>
      <c r="G954" s="115"/>
      <c r="H954" s="115"/>
      <c r="I954" s="115"/>
    </row>
    <row r="955" ht="15.75" customHeight="1">
      <c r="B955" s="114"/>
      <c r="E955" s="114"/>
      <c r="F955" s="115"/>
      <c r="G955" s="115"/>
      <c r="H955" s="115"/>
      <c r="I955" s="115"/>
    </row>
    <row r="956" ht="15.75" customHeight="1">
      <c r="B956" s="114"/>
      <c r="E956" s="114"/>
      <c r="F956" s="115"/>
      <c r="G956" s="115"/>
      <c r="H956" s="115"/>
      <c r="I956" s="115"/>
    </row>
    <row r="957" ht="15.75" customHeight="1">
      <c r="B957" s="114"/>
      <c r="E957" s="114"/>
      <c r="F957" s="115"/>
      <c r="G957" s="115"/>
      <c r="H957" s="115"/>
      <c r="I957" s="115"/>
    </row>
    <row r="958" ht="15.75" customHeight="1">
      <c r="B958" s="114"/>
      <c r="E958" s="114"/>
      <c r="F958" s="115"/>
      <c r="G958" s="115"/>
      <c r="H958" s="115"/>
      <c r="I958" s="115"/>
    </row>
    <row r="959" ht="15.75" customHeight="1">
      <c r="B959" s="114"/>
      <c r="E959" s="114"/>
      <c r="F959" s="115"/>
      <c r="G959" s="115"/>
      <c r="H959" s="115"/>
      <c r="I959" s="115"/>
    </row>
    <row r="960" ht="15.75" customHeight="1">
      <c r="B960" s="114"/>
      <c r="E960" s="114"/>
      <c r="F960" s="115"/>
      <c r="G960" s="115"/>
      <c r="H960" s="115"/>
      <c r="I960" s="115"/>
    </row>
    <row r="961" ht="15.75" customHeight="1">
      <c r="B961" s="114"/>
      <c r="E961" s="114"/>
      <c r="F961" s="115"/>
      <c r="G961" s="115"/>
      <c r="H961" s="115"/>
      <c r="I961" s="115"/>
    </row>
    <row r="962" ht="15.75" customHeight="1">
      <c r="B962" s="114"/>
      <c r="E962" s="114"/>
      <c r="F962" s="115"/>
      <c r="G962" s="115"/>
      <c r="H962" s="115"/>
      <c r="I962" s="115"/>
    </row>
    <row r="963" ht="15.75" customHeight="1">
      <c r="B963" s="114"/>
      <c r="E963" s="114"/>
      <c r="F963" s="115"/>
      <c r="G963" s="115"/>
      <c r="H963" s="115"/>
      <c r="I963" s="115"/>
    </row>
    <row r="964" ht="15.75" customHeight="1">
      <c r="B964" s="114"/>
      <c r="E964" s="114"/>
      <c r="F964" s="115"/>
      <c r="G964" s="115"/>
      <c r="H964" s="115"/>
      <c r="I964" s="115"/>
    </row>
    <row r="965" ht="15.75" customHeight="1">
      <c r="B965" s="114"/>
      <c r="E965" s="114"/>
      <c r="F965" s="115"/>
      <c r="G965" s="115"/>
      <c r="H965" s="115"/>
      <c r="I965" s="115"/>
    </row>
    <row r="966" ht="15.75" customHeight="1">
      <c r="B966" s="114"/>
      <c r="E966" s="114"/>
      <c r="F966" s="115"/>
      <c r="G966" s="115"/>
      <c r="H966" s="115"/>
      <c r="I966" s="115"/>
    </row>
    <row r="967" ht="15.75" customHeight="1">
      <c r="B967" s="114"/>
      <c r="E967" s="114"/>
      <c r="F967" s="115"/>
      <c r="G967" s="115"/>
      <c r="H967" s="115"/>
      <c r="I967" s="115"/>
    </row>
    <row r="968" ht="15.75" customHeight="1">
      <c r="B968" s="114"/>
      <c r="E968" s="114"/>
      <c r="F968" s="115"/>
      <c r="G968" s="115"/>
      <c r="H968" s="115"/>
      <c r="I968" s="115"/>
    </row>
    <row r="969" ht="15.75" customHeight="1">
      <c r="B969" s="114"/>
      <c r="E969" s="114"/>
      <c r="F969" s="115"/>
      <c r="G969" s="115"/>
      <c r="H969" s="115"/>
      <c r="I969" s="115"/>
    </row>
    <row r="970" ht="15.75" customHeight="1">
      <c r="B970" s="114"/>
      <c r="E970" s="114"/>
      <c r="F970" s="115"/>
      <c r="G970" s="115"/>
      <c r="H970" s="115"/>
      <c r="I970" s="115"/>
    </row>
    <row r="971" ht="15.75" customHeight="1">
      <c r="B971" s="114"/>
      <c r="E971" s="114"/>
      <c r="F971" s="115"/>
      <c r="G971" s="115"/>
      <c r="H971" s="115"/>
      <c r="I971" s="115"/>
    </row>
    <row r="972" ht="15.75" customHeight="1">
      <c r="B972" s="114"/>
      <c r="E972" s="114"/>
      <c r="F972" s="115"/>
      <c r="G972" s="115"/>
      <c r="H972" s="115"/>
      <c r="I972" s="115"/>
    </row>
    <row r="973" ht="15.75" customHeight="1">
      <c r="B973" s="114"/>
      <c r="E973" s="114"/>
      <c r="F973" s="115"/>
      <c r="G973" s="115"/>
      <c r="H973" s="115"/>
      <c r="I973" s="115"/>
    </row>
    <row r="974" ht="15.75" customHeight="1">
      <c r="B974" s="114"/>
      <c r="E974" s="114"/>
      <c r="F974" s="115"/>
      <c r="G974" s="115"/>
      <c r="H974" s="115"/>
      <c r="I974" s="115"/>
    </row>
    <row r="975" ht="15.75" customHeight="1">
      <c r="B975" s="114"/>
      <c r="E975" s="114"/>
      <c r="F975" s="115"/>
      <c r="G975" s="115"/>
      <c r="H975" s="115"/>
      <c r="I975" s="115"/>
    </row>
    <row r="976" ht="15.75" customHeight="1">
      <c r="B976" s="114"/>
      <c r="E976" s="114"/>
      <c r="F976" s="115"/>
      <c r="G976" s="115"/>
      <c r="H976" s="115"/>
      <c r="I976" s="115"/>
    </row>
    <row r="977" ht="15.75" customHeight="1">
      <c r="B977" s="114"/>
      <c r="E977" s="114"/>
      <c r="F977" s="115"/>
      <c r="G977" s="115"/>
      <c r="H977" s="115"/>
      <c r="I977" s="115"/>
    </row>
    <row r="978" ht="15.75" customHeight="1">
      <c r="B978" s="114"/>
      <c r="E978" s="114"/>
      <c r="F978" s="115"/>
      <c r="G978" s="115"/>
      <c r="H978" s="115"/>
      <c r="I978" s="115"/>
    </row>
    <row r="979" ht="15.75" customHeight="1">
      <c r="B979" s="114"/>
      <c r="E979" s="114"/>
      <c r="F979" s="115"/>
      <c r="G979" s="115"/>
      <c r="H979" s="115"/>
      <c r="I979" s="115"/>
    </row>
    <row r="980" ht="15.75" customHeight="1">
      <c r="B980" s="114"/>
      <c r="E980" s="114"/>
      <c r="F980" s="115"/>
      <c r="G980" s="115"/>
      <c r="H980" s="115"/>
      <c r="I980" s="115"/>
    </row>
    <row r="981" ht="15.75" customHeight="1">
      <c r="B981" s="114"/>
      <c r="E981" s="114"/>
      <c r="F981" s="115"/>
      <c r="G981" s="115"/>
      <c r="H981" s="115"/>
      <c r="I981" s="115"/>
    </row>
    <row r="982" ht="15.75" customHeight="1">
      <c r="B982" s="114"/>
      <c r="E982" s="114"/>
      <c r="F982" s="115"/>
      <c r="G982" s="115"/>
      <c r="H982" s="115"/>
      <c r="I982" s="115"/>
    </row>
    <row r="983" ht="15.75" customHeight="1">
      <c r="B983" s="114"/>
      <c r="E983" s="114"/>
      <c r="F983" s="115"/>
      <c r="G983" s="115"/>
      <c r="H983" s="115"/>
      <c r="I983" s="115"/>
    </row>
    <row r="984" ht="15.75" customHeight="1">
      <c r="B984" s="114"/>
      <c r="E984" s="114"/>
      <c r="F984" s="115"/>
      <c r="G984" s="115"/>
      <c r="H984" s="115"/>
      <c r="I984" s="115"/>
    </row>
    <row r="985" ht="15.75" customHeight="1">
      <c r="B985" s="114"/>
      <c r="E985" s="114"/>
      <c r="F985" s="115"/>
      <c r="G985" s="115"/>
      <c r="H985" s="115"/>
      <c r="I985" s="115"/>
    </row>
    <row r="986" ht="15.75" customHeight="1">
      <c r="B986" s="114"/>
      <c r="E986" s="114"/>
      <c r="F986" s="115"/>
      <c r="G986" s="115"/>
      <c r="H986" s="115"/>
      <c r="I986" s="115"/>
    </row>
    <row r="987" ht="15.75" customHeight="1">
      <c r="B987" s="114"/>
      <c r="E987" s="114"/>
      <c r="F987" s="115"/>
      <c r="G987" s="115"/>
      <c r="H987" s="115"/>
      <c r="I987" s="115"/>
    </row>
    <row r="988" ht="15.75" customHeight="1">
      <c r="B988" s="114"/>
      <c r="E988" s="114"/>
      <c r="F988" s="115"/>
      <c r="G988" s="115"/>
      <c r="H988" s="115"/>
      <c r="I988" s="115"/>
    </row>
    <row r="989" ht="15.75" customHeight="1">
      <c r="B989" s="114"/>
      <c r="E989" s="114"/>
      <c r="F989" s="115"/>
      <c r="G989" s="115"/>
      <c r="H989" s="115"/>
      <c r="I989" s="115"/>
    </row>
    <row r="990" ht="15.75" customHeight="1">
      <c r="B990" s="114"/>
      <c r="E990" s="114"/>
      <c r="F990" s="115"/>
      <c r="G990" s="115"/>
      <c r="H990" s="115"/>
      <c r="I990" s="115"/>
    </row>
  </sheetData>
  <mergeCells count="10">
    <mergeCell ref="C6:D7"/>
    <mergeCell ref="E6:F7"/>
    <mergeCell ref="A1:I2"/>
    <mergeCell ref="A3:I3"/>
    <mergeCell ref="A5:B5"/>
    <mergeCell ref="C5:D5"/>
    <mergeCell ref="E5:F5"/>
    <mergeCell ref="G5:I5"/>
    <mergeCell ref="A6:B7"/>
    <mergeCell ref="G6:I7"/>
  </mergeCells>
  <dataValidations>
    <dataValidation type="list" allowBlank="1" showErrorMessage="1" sqref="E10:E36 E38:E52">
      <formula1>Ref!$B$2:$B$20</formula1>
    </dataValidation>
    <dataValidation type="list" allowBlank="1" showErrorMessage="1" sqref="G10:G52">
      <formula1>Ref!$E$2:$E$16</formula1>
    </dataValidation>
    <dataValidation type="list" allowBlank="1" sqref="I10:I190">
      <formula1>Ref!$D$2:$D$6</formula1>
    </dataValidation>
    <dataValidation type="list" allowBlank="1" showErrorMessage="1" sqref="F10:F52">
      <formula1>Ref!$A$2:$A$16</formula1>
    </dataValidation>
    <dataValidation type="list" allowBlank="1" sqref="H10:H190">
      <formula1>Ref!$C$2:$C$6</formula1>
    </dataValidation>
    <dataValidation type="list" allowBlank="1" sqref="G53:G190">
      <formula1>Ref!$E$2:$E$6</formula1>
    </dataValidation>
    <dataValidation type="list" allowBlank="1" sqref="F53:F190">
      <formula1>Ref!$A$2:$A$14</formula1>
    </dataValidation>
  </dataValidations>
  <hyperlinks>
    <hyperlink r:id="rId1" ref="D10"/>
    <hyperlink r:id="rId2" ref="D11"/>
    <hyperlink r:id="rId3" ref="D12"/>
    <hyperlink r:id="rId4" ref="D13"/>
    <hyperlink r:id="rId5" ref="D14"/>
    <hyperlink r:id="rId6" ref="D15"/>
    <hyperlink r:id="rId7" ref="D16"/>
    <hyperlink r:id="rId8" ref="D17"/>
    <hyperlink r:id="rId9" ref="D18"/>
    <hyperlink r:id="rId10" ref="D19"/>
    <hyperlink r:id="rId11" ref="D20"/>
    <hyperlink r:id="rId12" ref="D21"/>
    <hyperlink r:id="rId13" ref="D22"/>
    <hyperlink r:id="rId14" ref="D23"/>
    <hyperlink r:id="rId15" ref="D24"/>
    <hyperlink r:id="rId16" ref="D25"/>
    <hyperlink r:id="rId17" ref="D26"/>
    <hyperlink r:id="rId18" ref="D27"/>
    <hyperlink r:id="rId19" ref="D28"/>
    <hyperlink r:id="rId20" ref="D29"/>
    <hyperlink r:id="rId21" ref="D30"/>
    <hyperlink r:id="rId22" ref="D31"/>
    <hyperlink r:id="rId23" ref="D32"/>
    <hyperlink r:id="rId24" ref="D33"/>
    <hyperlink r:id="rId25" ref="D34"/>
    <hyperlink r:id="rId26" ref="D35"/>
    <hyperlink r:id="rId27" ref="D36"/>
    <hyperlink r:id="rId28" ref="D37"/>
    <hyperlink r:id="rId29" ref="D38"/>
    <hyperlink r:id="rId30" ref="D39"/>
    <hyperlink r:id="rId31" ref="D40"/>
    <hyperlink r:id="rId32" ref="D41"/>
    <hyperlink r:id="rId33" ref="D42"/>
    <hyperlink r:id="rId34" ref="D43"/>
    <hyperlink r:id="rId35" ref="D44"/>
    <hyperlink r:id="rId36" ref="D45"/>
    <hyperlink r:id="rId37" ref="D46"/>
    <hyperlink r:id="rId38" ref="D47"/>
    <hyperlink r:id="rId39" ref="D48"/>
    <hyperlink r:id="rId40" ref="D49"/>
    <hyperlink r:id="rId41" ref="D50"/>
    <hyperlink r:id="rId42" ref="D51"/>
    <hyperlink r:id="rId43" ref="D52"/>
  </hyperlinks>
  <printOptions/>
  <pageMargins bottom="0.75" footer="0.0" header="0.0" left="0.7" right="0.7" top="0.75"/>
  <pageSetup fitToHeight="0" paperSize="9" orientation="landscape"/>
  <drawing r:id="rId4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24.0"/>
    <col customWidth="1" min="2" max="3" width="44.0"/>
    <col customWidth="1" min="4" max="7" width="8.63"/>
  </cols>
  <sheetData>
    <row r="1" ht="15.0" customHeight="1">
      <c r="A1" s="3" t="s">
        <v>2</v>
      </c>
      <c r="B1" s="4"/>
      <c r="C1" s="4"/>
      <c r="D1" s="4"/>
      <c r="E1" s="4"/>
      <c r="F1" s="4"/>
      <c r="G1" s="5"/>
    </row>
    <row r="2" ht="15.0" customHeight="1">
      <c r="A2" s="7"/>
      <c r="B2" s="9"/>
      <c r="C2" s="9"/>
      <c r="D2" s="9"/>
      <c r="E2" s="9"/>
      <c r="F2" s="9"/>
      <c r="G2" s="10"/>
    </row>
    <row r="3" ht="24.0" customHeight="1">
      <c r="A3" s="13" t="s">
        <v>4</v>
      </c>
      <c r="B3" s="8"/>
      <c r="C3" s="11"/>
      <c r="D3" s="15"/>
      <c r="E3" s="15"/>
      <c r="F3" s="15"/>
      <c r="G3" s="15"/>
    </row>
    <row r="4">
      <c r="A4" s="16"/>
      <c r="B4" s="16"/>
      <c r="C4" s="16"/>
      <c r="D4" s="18"/>
      <c r="E4" s="18"/>
      <c r="F4" s="18"/>
      <c r="G4" s="18"/>
    </row>
    <row r="5" ht="33.0" customHeight="1">
      <c r="A5" s="19" t="s">
        <v>6</v>
      </c>
      <c r="B5" s="19" t="s">
        <v>7</v>
      </c>
      <c r="C5" s="19" t="s">
        <v>8</v>
      </c>
      <c r="D5" s="21"/>
      <c r="E5" s="21"/>
      <c r="F5" s="21"/>
      <c r="G5" s="21"/>
    </row>
    <row r="6" ht="37.5" customHeight="1">
      <c r="A6" s="22" t="s">
        <v>11</v>
      </c>
      <c r="B6" s="22" t="s">
        <v>12</v>
      </c>
      <c r="C6" s="22" t="s">
        <v>14</v>
      </c>
      <c r="D6" s="23"/>
      <c r="E6" s="23"/>
      <c r="F6" s="23"/>
      <c r="G6" s="23"/>
    </row>
    <row r="7" ht="37.5" customHeight="1">
      <c r="A7" s="24" t="s">
        <v>15</v>
      </c>
      <c r="B7" s="24" t="s">
        <v>16</v>
      </c>
      <c r="C7" s="24" t="s">
        <v>17</v>
      </c>
      <c r="D7" s="15"/>
      <c r="E7" s="15"/>
      <c r="F7" s="15"/>
      <c r="G7" s="15"/>
    </row>
    <row r="8" ht="37.5" customHeight="1">
      <c r="A8" s="24" t="s">
        <v>18</v>
      </c>
      <c r="B8" s="24" t="s">
        <v>19</v>
      </c>
      <c r="C8" s="24" t="s">
        <v>20</v>
      </c>
      <c r="D8" s="15"/>
      <c r="E8" s="15"/>
      <c r="F8" s="15"/>
      <c r="G8" s="15"/>
    </row>
    <row r="9" ht="37.5" customHeight="1">
      <c r="A9" s="24" t="s">
        <v>21</v>
      </c>
      <c r="B9" s="24" t="s">
        <v>22</v>
      </c>
      <c r="C9" s="24" t="s">
        <v>23</v>
      </c>
      <c r="D9" s="15"/>
      <c r="E9" s="15"/>
      <c r="F9" s="15"/>
      <c r="G9" s="15"/>
    </row>
    <row r="10" ht="37.5" customHeight="1">
      <c r="A10" s="24" t="s">
        <v>24</v>
      </c>
      <c r="B10" s="24" t="s">
        <v>25</v>
      </c>
      <c r="C10" s="24" t="s">
        <v>26</v>
      </c>
      <c r="D10" s="15"/>
      <c r="E10" s="15"/>
      <c r="F10" s="15"/>
      <c r="G10" s="15"/>
    </row>
    <row r="11" ht="37.5" customHeight="1">
      <c r="A11" s="24" t="s">
        <v>27</v>
      </c>
      <c r="B11" s="24" t="s">
        <v>28</v>
      </c>
      <c r="C11" s="24" t="s">
        <v>29</v>
      </c>
      <c r="D11" s="15"/>
      <c r="E11" s="15"/>
      <c r="F11" s="15"/>
      <c r="G11" s="15"/>
    </row>
    <row r="12" ht="37.5" customHeight="1">
      <c r="A12" s="24" t="s">
        <v>30</v>
      </c>
      <c r="B12" s="24" t="s">
        <v>31</v>
      </c>
      <c r="C12" s="24" t="s">
        <v>32</v>
      </c>
      <c r="D12" s="15"/>
      <c r="E12" s="15"/>
      <c r="F12" s="15"/>
      <c r="G12" s="15"/>
    </row>
    <row r="13" ht="37.5" customHeight="1">
      <c r="A13" s="24" t="s">
        <v>33</v>
      </c>
      <c r="B13" s="24" t="s">
        <v>34</v>
      </c>
      <c r="C13" s="24" t="s">
        <v>35</v>
      </c>
      <c r="D13" s="15"/>
      <c r="E13" s="15"/>
      <c r="F13" s="15"/>
      <c r="G13" s="15"/>
    </row>
    <row r="14" ht="37.5" customHeight="1">
      <c r="A14" s="24" t="s">
        <v>36</v>
      </c>
      <c r="B14" s="24" t="s">
        <v>37</v>
      </c>
      <c r="C14" s="24" t="s">
        <v>38</v>
      </c>
      <c r="D14" s="15"/>
      <c r="E14" s="15"/>
      <c r="F14" s="15"/>
      <c r="G14" s="15"/>
    </row>
    <row r="15" ht="37.5" customHeight="1">
      <c r="A15" s="24" t="s">
        <v>39</v>
      </c>
      <c r="B15" s="24" t="s">
        <v>40</v>
      </c>
      <c r="C15" s="24" t="s">
        <v>41</v>
      </c>
      <c r="D15" s="15"/>
      <c r="E15" s="15"/>
      <c r="F15" s="15"/>
      <c r="G15" s="15"/>
    </row>
    <row r="16">
      <c r="A16" s="12"/>
      <c r="B16" s="12"/>
      <c r="C16" s="12"/>
      <c r="D16" s="15"/>
      <c r="E16" s="15"/>
      <c r="F16" s="15"/>
      <c r="G16" s="15"/>
    </row>
    <row r="17">
      <c r="A17" s="27"/>
      <c r="B17" s="8"/>
      <c r="C17" s="11"/>
      <c r="D17" s="15"/>
      <c r="E17" s="15"/>
      <c r="F17" s="15"/>
      <c r="G17" s="15"/>
    </row>
    <row r="18">
      <c r="A18" s="28" t="s">
        <v>42</v>
      </c>
      <c r="B18" s="8"/>
      <c r="C18" s="11"/>
      <c r="D18" s="15"/>
      <c r="E18" s="15"/>
      <c r="F18" s="15"/>
      <c r="G18" s="15"/>
    </row>
    <row r="19">
      <c r="A19" s="30" t="s">
        <v>43</v>
      </c>
      <c r="B19" s="8"/>
      <c r="C19" s="11"/>
      <c r="D19" s="15"/>
      <c r="E19" s="15"/>
      <c r="F19" s="15"/>
      <c r="G19" s="15"/>
    </row>
  </sheetData>
  <mergeCells count="5">
    <mergeCell ref="A1:G2"/>
    <mergeCell ref="A3:C3"/>
    <mergeCell ref="A17:C17"/>
    <mergeCell ref="A18:C18"/>
    <mergeCell ref="A19:C19"/>
  </mergeCells>
  <printOptions/>
  <pageMargins bottom="0.75" footer="0.0" header="0.0" left="0.7" right="0.7" top="0.75"/>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8.0"/>
    <col customWidth="1" min="3" max="4" width="14.0"/>
    <col customWidth="1" min="5" max="6" width="16.0"/>
    <col customWidth="1" min="7" max="7" width="8.63"/>
    <col customWidth="1" min="8" max="8" width="20.0"/>
    <col customWidth="1" min="9" max="9" width="30.0"/>
    <col customWidth="1" min="10" max="26" width="8.63"/>
  </cols>
  <sheetData>
    <row r="1">
      <c r="A1" s="34" t="s">
        <v>44</v>
      </c>
      <c r="B1" s="34" t="s">
        <v>45</v>
      </c>
      <c r="C1" s="34" t="s">
        <v>47</v>
      </c>
      <c r="D1" s="34" t="s">
        <v>48</v>
      </c>
      <c r="E1" s="34" t="s">
        <v>50</v>
      </c>
      <c r="F1" s="34" t="s">
        <v>52</v>
      </c>
      <c r="G1" s="37"/>
      <c r="H1" s="38" t="s">
        <v>54</v>
      </c>
      <c r="I1" s="39" t="s">
        <v>56</v>
      </c>
      <c r="J1" s="40" t="s">
        <v>57</v>
      </c>
      <c r="K1" s="40" t="s">
        <v>58</v>
      </c>
    </row>
    <row r="2">
      <c r="A2" s="37" t="s">
        <v>59</v>
      </c>
      <c r="B2" s="37" t="s">
        <v>60</v>
      </c>
      <c r="C2" s="37" t="s">
        <v>61</v>
      </c>
      <c r="D2" s="37" t="s">
        <v>62</v>
      </c>
      <c r="E2" s="37" t="s">
        <v>63</v>
      </c>
      <c r="F2" s="37" t="s">
        <v>64</v>
      </c>
      <c r="G2" s="37"/>
      <c r="H2" s="37" t="s">
        <v>65</v>
      </c>
      <c r="I2" s="41">
        <v>46235.0</v>
      </c>
      <c r="J2" s="40" t="s">
        <v>66</v>
      </c>
      <c r="K2" s="40">
        <v>2026.0</v>
      </c>
    </row>
    <row r="3">
      <c r="A3" s="37" t="s">
        <v>67</v>
      </c>
      <c r="B3" s="37" t="s">
        <v>64</v>
      </c>
      <c r="C3" s="37" t="s">
        <v>68</v>
      </c>
      <c r="D3" s="37" t="s">
        <v>69</v>
      </c>
      <c r="E3" s="37" t="s">
        <v>70</v>
      </c>
      <c r="F3" s="37" t="s">
        <v>71</v>
      </c>
      <c r="G3" s="37"/>
      <c r="H3" s="37" t="s">
        <v>30</v>
      </c>
      <c r="I3" s="42">
        <v>60.0</v>
      </c>
    </row>
    <row r="4">
      <c r="A4" s="37" t="s">
        <v>72</v>
      </c>
      <c r="B4" s="45" t="s">
        <v>73</v>
      </c>
      <c r="C4" s="37" t="s">
        <v>74</v>
      </c>
      <c r="D4" s="37"/>
      <c r="E4" s="37" t="s">
        <v>75</v>
      </c>
      <c r="F4" s="37" t="s">
        <v>76</v>
      </c>
      <c r="G4" s="37"/>
      <c r="H4" s="37" t="s">
        <v>77</v>
      </c>
      <c r="I4" s="42" t="s">
        <v>78</v>
      </c>
    </row>
    <row r="5">
      <c r="A5" s="37" t="s">
        <v>79</v>
      </c>
      <c r="B5" s="37" t="s">
        <v>76</v>
      </c>
      <c r="C5" s="37"/>
      <c r="D5" s="37"/>
      <c r="E5" s="37"/>
      <c r="F5" s="37" t="s">
        <v>81</v>
      </c>
      <c r="G5" s="37"/>
      <c r="H5" s="37"/>
    </row>
    <row r="6">
      <c r="A6" s="37" t="s">
        <v>82</v>
      </c>
      <c r="B6" s="37" t="s">
        <v>81</v>
      </c>
      <c r="C6" s="37"/>
      <c r="D6" s="37"/>
      <c r="E6" s="37"/>
      <c r="F6" s="37" t="s">
        <v>83</v>
      </c>
      <c r="G6" s="37"/>
      <c r="H6" s="37"/>
    </row>
    <row r="7">
      <c r="A7" s="37" t="s">
        <v>84</v>
      </c>
      <c r="B7" s="37" t="s">
        <v>83</v>
      </c>
      <c r="C7" s="37"/>
      <c r="D7" s="37"/>
      <c r="E7" s="37"/>
      <c r="F7" s="37" t="s">
        <v>86</v>
      </c>
      <c r="G7" s="37"/>
      <c r="H7" s="37"/>
    </row>
    <row r="8">
      <c r="A8" s="37" t="s">
        <v>87</v>
      </c>
      <c r="B8" s="37" t="s">
        <v>86</v>
      </c>
      <c r="C8" s="37"/>
      <c r="D8" s="37"/>
      <c r="E8" s="37"/>
      <c r="F8" s="37" t="s">
        <v>88</v>
      </c>
      <c r="G8" s="37"/>
      <c r="H8" s="37"/>
    </row>
    <row r="9">
      <c r="A9" s="37" t="s">
        <v>89</v>
      </c>
      <c r="B9" s="37" t="s">
        <v>88</v>
      </c>
      <c r="C9" s="37"/>
      <c r="D9" s="37"/>
      <c r="E9" s="37"/>
      <c r="F9" s="37" t="s">
        <v>90</v>
      </c>
      <c r="G9" s="37"/>
      <c r="H9" s="37"/>
    </row>
    <row r="10">
      <c r="A10" s="37" t="s">
        <v>91</v>
      </c>
      <c r="B10" s="37" t="s">
        <v>90</v>
      </c>
      <c r="C10" s="37"/>
      <c r="D10" s="37"/>
      <c r="E10" s="37"/>
      <c r="F10" s="37" t="s">
        <v>92</v>
      </c>
      <c r="G10" s="37"/>
      <c r="H10" s="37"/>
    </row>
    <row r="11">
      <c r="A11" s="37" t="s">
        <v>93</v>
      </c>
      <c r="B11" s="37" t="s">
        <v>92</v>
      </c>
      <c r="C11" s="37"/>
      <c r="D11" s="37"/>
      <c r="E11" s="37"/>
      <c r="F11" s="37" t="s">
        <v>94</v>
      </c>
      <c r="G11" s="37"/>
      <c r="H11" s="37"/>
    </row>
    <row r="12">
      <c r="A12" s="37" t="s">
        <v>95</v>
      </c>
      <c r="B12" s="37" t="s">
        <v>94</v>
      </c>
      <c r="C12" s="37"/>
      <c r="D12" s="37"/>
      <c r="E12" s="37"/>
      <c r="F12" s="37"/>
      <c r="G12" s="37"/>
      <c r="H12" s="37"/>
    </row>
    <row r="13">
      <c r="A13" s="37" t="s">
        <v>97</v>
      </c>
      <c r="B13" s="45" t="s">
        <v>98</v>
      </c>
      <c r="C13" s="37"/>
      <c r="D13" s="37"/>
      <c r="E13" s="37"/>
      <c r="F13" s="37"/>
      <c r="G13" s="37"/>
      <c r="H13" s="37"/>
    </row>
    <row r="14">
      <c r="A14" s="37" t="s">
        <v>99</v>
      </c>
      <c r="B14" s="45" t="s">
        <v>100</v>
      </c>
      <c r="C14" s="37"/>
      <c r="D14" s="37"/>
      <c r="E14" s="37"/>
      <c r="F14" s="37"/>
      <c r="G14" s="37"/>
      <c r="H14" s="37"/>
    </row>
    <row r="15">
      <c r="A15" s="37"/>
      <c r="B15" s="45" t="s">
        <v>101</v>
      </c>
      <c r="C15" s="37"/>
      <c r="D15" s="37"/>
      <c r="E15" s="37"/>
      <c r="F15" s="37"/>
      <c r="G15" s="37"/>
      <c r="H15" s="37"/>
    </row>
    <row r="16">
      <c r="A16" s="37"/>
      <c r="B16" s="45" t="s">
        <v>71</v>
      </c>
      <c r="C16" s="37"/>
      <c r="D16" s="37"/>
      <c r="E16" s="37"/>
      <c r="F16" s="37"/>
      <c r="G16" s="37"/>
      <c r="H16" s="37"/>
    </row>
    <row r="17">
      <c r="A17" s="37"/>
      <c r="B17" s="37"/>
      <c r="C17" s="37"/>
      <c r="D17" s="37"/>
      <c r="E17" s="37"/>
      <c r="F17" s="37"/>
      <c r="G17" s="37"/>
      <c r="H17" s="37"/>
    </row>
    <row r="18">
      <c r="A18" s="37"/>
      <c r="B18" s="37"/>
      <c r="C18" s="37"/>
      <c r="D18" s="37"/>
      <c r="E18" s="37"/>
      <c r="F18" s="37"/>
      <c r="G18" s="37"/>
      <c r="H18" s="37"/>
    </row>
    <row r="19">
      <c r="A19" s="37"/>
      <c r="B19" s="37"/>
      <c r="C19" s="37"/>
      <c r="D19" s="37"/>
      <c r="E19" s="37"/>
      <c r="F19" s="37"/>
      <c r="G19" s="37"/>
      <c r="H19" s="37"/>
    </row>
    <row r="20">
      <c r="A20" s="37"/>
      <c r="B20" s="37"/>
      <c r="C20" s="37"/>
      <c r="D20" s="37"/>
      <c r="E20" s="37"/>
      <c r="F20" s="37"/>
      <c r="G20" s="37"/>
      <c r="H20" s="37"/>
    </row>
    <row r="21" ht="15.75" customHeight="1">
      <c r="A21" s="37"/>
      <c r="B21" s="37"/>
      <c r="C21" s="37"/>
      <c r="D21" s="37"/>
      <c r="E21" s="37"/>
      <c r="F21" s="37"/>
      <c r="G21" s="37"/>
      <c r="H21" s="37"/>
    </row>
    <row r="22" ht="15.75" customHeight="1">
      <c r="A22" s="37"/>
      <c r="B22" s="37"/>
      <c r="C22" s="37"/>
      <c r="D22" s="37"/>
      <c r="E22" s="37"/>
      <c r="F22" s="37"/>
      <c r="G22" s="37"/>
      <c r="H22" s="37"/>
    </row>
    <row r="23" ht="15.75" customHeight="1">
      <c r="A23" s="37"/>
      <c r="B23" s="37"/>
      <c r="C23" s="37"/>
      <c r="D23" s="37"/>
      <c r="E23" s="37"/>
      <c r="F23" s="37"/>
      <c r="G23" s="37"/>
      <c r="H23" s="37"/>
    </row>
    <row r="24" ht="15.75" customHeight="1">
      <c r="A24" s="37"/>
      <c r="B24" s="37"/>
      <c r="C24" s="37"/>
      <c r="D24" s="37"/>
      <c r="E24" s="37"/>
      <c r="F24" s="37"/>
      <c r="G24" s="37"/>
      <c r="H24" s="37"/>
    </row>
    <row r="25" ht="15.75" customHeight="1">
      <c r="A25" s="37"/>
      <c r="B25" s="37"/>
      <c r="C25" s="37"/>
      <c r="D25" s="37"/>
      <c r="E25" s="37"/>
      <c r="F25" s="37"/>
      <c r="G25" s="37"/>
      <c r="H25" s="37"/>
    </row>
    <row r="26" ht="15.75" customHeight="1">
      <c r="A26" s="37"/>
      <c r="B26" s="37"/>
      <c r="C26" s="37"/>
      <c r="D26" s="37"/>
      <c r="E26" s="37"/>
      <c r="F26" s="37"/>
      <c r="G26" s="37"/>
      <c r="H26" s="37"/>
    </row>
    <row r="27" ht="15.75" customHeight="1">
      <c r="A27" s="37"/>
      <c r="B27" s="37"/>
      <c r="C27" s="37"/>
      <c r="D27" s="37"/>
      <c r="E27" s="37"/>
      <c r="F27" s="37"/>
      <c r="G27" s="37"/>
      <c r="H27" s="37"/>
    </row>
    <row r="28" ht="15.75" customHeight="1">
      <c r="A28" s="37"/>
      <c r="B28" s="37"/>
      <c r="C28" s="37"/>
      <c r="D28" s="37"/>
      <c r="E28" s="37"/>
      <c r="F28" s="37"/>
      <c r="G28" s="37"/>
      <c r="H28" s="37"/>
    </row>
    <row r="29" ht="15.75" customHeight="1">
      <c r="A29" s="37"/>
      <c r="B29" s="37"/>
      <c r="C29" s="37"/>
      <c r="D29" s="37"/>
      <c r="E29" s="37"/>
      <c r="F29" s="37"/>
      <c r="G29" s="37"/>
      <c r="H29" s="37"/>
    </row>
    <row r="30" ht="15.75" customHeight="1">
      <c r="A30" s="37"/>
      <c r="B30" s="37"/>
      <c r="C30" s="37"/>
      <c r="D30" s="37"/>
      <c r="E30" s="37"/>
      <c r="F30" s="37"/>
      <c r="G30" s="37"/>
      <c r="H30" s="37"/>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