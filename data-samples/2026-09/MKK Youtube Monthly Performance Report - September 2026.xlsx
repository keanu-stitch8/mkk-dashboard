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 Executive Summary" sheetId="1" r:id="rId5"/>
    <sheet state="visible" name="02 Video Performance" sheetId="2" r:id="rId6"/>
    <sheet state="visible" name="03 Publishing Log" sheetId="3" r:id="rId7"/>
    <sheet state="visible" name="04 Metric Guide" sheetId="4" r:id="rId8"/>
    <sheet state="visible" name="05 Youtube Studio Analytics" sheetId="5" r:id="rId9"/>
    <sheet state="visible" name="06 Youtube Video List" sheetId="6" r:id="rId10"/>
    <sheet state="visible" name="Ref" sheetId="7" r:id="rId11"/>
  </sheets>
  <definedNames/>
  <calcPr/>
</workbook>
</file>

<file path=xl/sharedStrings.xml><?xml version="1.0" encoding="utf-8"?>
<sst xmlns="http://schemas.openxmlformats.org/spreadsheetml/2006/main" count="162" uniqueCount="119">
  <si>
    <t>METRIC GUIDE</t>
  </si>
  <si>
    <t>PUBLISHING LOG</t>
  </si>
  <si>
    <t>VIDEO PERFORMANCE</t>
  </si>
  <si>
    <t>How to read the YouTube analytics used in this report</t>
  </si>
  <si>
    <t>Main ke Kudus · Client-facing social media publishing record</t>
  </si>
  <si>
    <t>Metric</t>
  </si>
  <si>
    <t>Definition</t>
  </si>
  <si>
    <t>Why it matters</t>
  </si>
  <si>
    <t>Views</t>
  </si>
  <si>
    <t>Valid video views recorded by YouTube.</t>
  </si>
  <si>
    <t>Measures content consumption volume.</t>
  </si>
  <si>
    <t>PUBLISHED</t>
  </si>
  <si>
    <t>Unique Viewers</t>
  </si>
  <si>
    <t>Estimated number of different viewers.</t>
  </si>
  <si>
    <t>Useful for reach; do not sum video-level uniques to estimate channel-wide unique viewers.</t>
  </si>
  <si>
    <t>Watch Time (hours)</t>
  </si>
  <si>
    <t>Total time viewers spent watching.</t>
  </si>
  <si>
    <t>MONTHLY QUOTA</t>
  </si>
  <si>
    <t>Shows depth of consumption, not just clicks.</t>
  </si>
  <si>
    <t>ACHIEVEMENT</t>
  </si>
  <si>
    <t>Average View Duration</t>
  </si>
  <si>
    <t>Average time watched per view.</t>
  </si>
  <si>
    <t>ADDITIONAL POST</t>
  </si>
  <si>
    <t>Best interpreted with video duration or Average % Viewed.</t>
  </si>
  <si>
    <t>Impressions</t>
  </si>
  <si>
    <t>Times the thumbnail was shown on eligible YouTube surfaces.</t>
  </si>
  <si>
    <t>Shows how widely YouTube distributed the video packaging.</t>
  </si>
  <si>
    <t>CTR</t>
  </si>
  <si>
    <t>Percentage of impressions that resulted in a view.</t>
  </si>
  <si>
    <t>Useful for evaluating title + thumbnail effectiveness.</t>
  </si>
  <si>
    <t>Subscribers Gained</t>
  </si>
  <si>
    <t>Subscribers attributed to the video.</t>
  </si>
  <si>
    <t>Shows which videos helped grow the channel audience.</t>
  </si>
  <si>
    <t>REPORTING METHODOLOGY</t>
  </si>
  <si>
    <t>No.</t>
  </si>
  <si>
    <t>Publish Date</t>
  </si>
  <si>
    <t>Video</t>
  </si>
  <si>
    <t>Type</t>
  </si>
  <si>
    <t>Category</t>
  </si>
  <si>
    <t>Data source: YouTube Studio analytics supplied for the July 2026 report.</t>
  </si>
  <si>
    <t>Watch Time (h)</t>
  </si>
  <si>
    <t>Avg View Duration</t>
  </si>
  <si>
    <t>Subs Gained</t>
  </si>
  <si>
    <t>Coverage area: Kudus, Central Java, Indonesia.</t>
  </si>
  <si>
    <t>Share of Views</t>
  </si>
  <si>
    <t>Format</t>
  </si>
  <si>
    <t>Status</t>
  </si>
  <si>
    <t>Caffino Srikandi Merdeka Cup 2026 (Recap)</t>
  </si>
  <si>
    <t>Editorial Feature Video</t>
  </si>
  <si>
    <t>https://www.youtube.com/watch?v=-qgU4zJuOpU</t>
  </si>
  <si>
    <t>Event</t>
  </si>
  <si>
    <t>Recap</t>
  </si>
  <si>
    <t>Sapphire Boutique Hotel | Esthetic Staycation di Kudus</t>
  </si>
  <si>
    <t>Published</t>
  </si>
  <si>
    <t>Accommodation</t>
  </si>
  <si>
    <t>Muhammad Daffa Nugraha | Perjalanan Bersama PB Sahabat</t>
  </si>
  <si>
    <t>Profile</t>
  </si>
  <si>
    <t>https://www.youtube.com/watch?v=w6jFZhBhHpI</t>
  </si>
  <si>
    <t>YOUTUBE STUDIO ANALYTICS SCREENSHOTS</t>
  </si>
  <si>
    <t>MARKASS Sport Center, Beragam Arena Olahraga di Satu Lokasi</t>
  </si>
  <si>
    <t>Venue</t>
  </si>
  <si>
    <t>Editorial Feature</t>
  </si>
  <si>
    <t>https://www.youtube.com/watch?v=0orgcuEEs4o</t>
  </si>
  <si>
    <t>QUICK READ</t>
  </si>
  <si>
    <t>Highest Views</t>
  </si>
  <si>
    <t>https://www.youtube.com/watch?v=Q__j3uXKwCA</t>
  </si>
  <si>
    <t>Highest CTR</t>
  </si>
  <si>
    <t>Highest Subscriber Gain</t>
  </si>
  <si>
    <t>YOUTUBE PUBLISHED LIST SCREENSHOTS</t>
  </si>
  <si>
    <t>VIDEOS PUBLISHED</t>
  </si>
  <si>
    <t>TOTAL VIEWS</t>
  </si>
  <si>
    <t>WATCH TIME (HOURS)</t>
  </si>
  <si>
    <t>SUBSCRIBERS</t>
  </si>
  <si>
    <t>IMPRESSIONS</t>
  </si>
  <si>
    <t>DELIVERY</t>
  </si>
  <si>
    <t>TOP PERFORMING CONTENT</t>
  </si>
  <si>
    <t>Admin</t>
  </si>
  <si>
    <t>Designer / Editor</t>
  </si>
  <si>
    <t>Mirror</t>
  </si>
  <si>
    <t>Categories</t>
  </si>
  <si>
    <t>Vendor</t>
  </si>
  <si>
    <t>Method</t>
  </si>
  <si>
    <t>Month</t>
  </si>
  <si>
    <t>Year</t>
  </si>
  <si>
    <t>VIEWS</t>
  </si>
  <si>
    <t>Lucky</t>
  </si>
  <si>
    <t>SHARE OF VIEWS</t>
  </si>
  <si>
    <t>Helmi</t>
  </si>
  <si>
    <t>Draft</t>
  </si>
  <si>
    <t>-</t>
  </si>
  <si>
    <t>Aksimaya</t>
  </si>
  <si>
    <t>Collab</t>
  </si>
  <si>
    <t>September</t>
  </si>
  <si>
    <t>Review</t>
  </si>
  <si>
    <t>Instagram</t>
  </si>
  <si>
    <t>Attraction</t>
  </si>
  <si>
    <t>Teaser</t>
  </si>
  <si>
    <t>Publish</t>
  </si>
  <si>
    <t>Tiktok</t>
  </si>
  <si>
    <t>Club</t>
  </si>
  <si>
    <t>Remote</t>
  </si>
  <si>
    <t>Community</t>
  </si>
  <si>
    <t>Culinary</t>
  </si>
  <si>
    <t>WHAT THE DATA SAYS</t>
  </si>
  <si>
    <t>Hero</t>
  </si>
  <si>
    <t>Sport Gears</t>
  </si>
  <si>
    <t>PRODUCTION PERIOD</t>
  </si>
  <si>
    <t>LANDSCAPE VIDEOS PRODUCED</t>
  </si>
  <si>
    <t>YOUTUBE PUBLISHED</t>
  </si>
  <si>
    <t>REMAINING LANDSCAPE ASSETS</t>
  </si>
  <si>
    <t>REPORTING SCOPE</t>
  </si>
  <si>
    <t>5–10 JUN 2026</t>
  </si>
  <si>
    <t>YOUTUBE</t>
  </si>
  <si>
    <t>DELIVERY &amp; PERFORMANCE SNAPSHOT</t>
  </si>
  <si>
    <t xml:space="preserve"> </t>
  </si>
  <si>
    <t>Content Mix</t>
  </si>
  <si>
    <t>Share</t>
  </si>
  <si>
    <t>Category Mix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</si>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</sst>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%"/>
    <numFmt numFmtId="165" formatCode="dd mmm yyyy"/>
    <numFmt numFmtId="166" formatCode="0.0"/>
    <numFmt numFmtId="167" formatCode="+0;-0;0"/>
  </numFmts>
  <fonts count="36">
    <font>
      <sz val="11.0"/>
      <color rgb="FF000000"/>
      <name val="Carlito"/>
      <scheme val="minor"/>
    </font>
    <font>
      <b/>
      <sz val="18.0"/>
      <color rgb="FFFFFFFF"/>
      <name val="Carlito"/>
    </font>
    <font>
      <sz val="10.0"/>
      <color rgb="FF6B7280"/>
      <name val="Carlito"/>
    </font>
    <font>
      <color rgb="FF667085"/>
      <name val="Carlito"/>
    </font>
    <font/>
    <font>
      <color theme="1"/>
      <name val="Carlito"/>
      <scheme val="minor"/>
    </font>
    <font>
      <sz val="11.0"/>
      <color theme="1"/>
      <name val="Carlito"/>
    </font>
    <font>
      <b/>
      <sz val="9.0"/>
      <color rgb="FFFFFFFF"/>
      <name val="Carlito"/>
    </font>
    <font>
      <b/>
      <sz val="10.0"/>
      <color rgb="FF6B7280"/>
      <name val="Carlito"/>
    </font>
    <font>
      <sz val="12.0"/>
      <color rgb="FF000000"/>
      <name val="Carlito"/>
    </font>
    <font>
      <b/>
      <sz val="16.0"/>
      <color rgb="FF202124"/>
      <name val="Carlito"/>
    </font>
    <font>
      <b/>
      <sz val="10.0"/>
      <color rgb="FF202124"/>
      <name val="Carlito"/>
    </font>
    <font>
      <sz val="10.0"/>
      <color rgb="FF202124"/>
      <name val="Carlito"/>
    </font>
    <font>
      <color theme="1"/>
      <name val="Carlito"/>
    </font>
    <font>
      <u/>
      <color rgb="FF467886"/>
      <name val="Carlito"/>
    </font>
    <font>
      <sz val="11.0"/>
      <color rgb="FF202124"/>
      <name val="Carlito"/>
    </font>
    <font>
      <u/>
      <color rgb="FF0000FF"/>
      <name val="Carlito"/>
    </font>
    <font>
      <sz val="9.0"/>
      <color rgb="FF6B7280"/>
      <name val="Carlito"/>
    </font>
    <font>
      <b/>
      <sz val="9.0"/>
      <color rgb="FF6B7280"/>
      <name val="Carlito"/>
    </font>
    <font>
      <u/>
      <color rgb="FF1155CC"/>
      <name val="Carlito"/>
    </font>
    <font>
      <b/>
      <sz val="20.0"/>
      <color rgb="FFFFFFFF"/>
      <name val="Carlito"/>
    </font>
    <font>
      <b/>
      <sz val="8.0"/>
      <color rgb="FF6B7280"/>
      <name val="Carlito"/>
    </font>
    <font>
      <b/>
      <sz val="18.0"/>
      <color rgb="FF202124"/>
      <name val="Carlito"/>
    </font>
    <font>
      <b/>
      <color rgb="FFFF4D00"/>
      <name val="Carlito"/>
    </font>
    <font>
      <b/>
      <sz val="10.0"/>
      <color rgb="FFFFFFFF"/>
      <name val="Carlito"/>
      <scheme val="minor"/>
    </font>
    <font>
      <sz val="10.0"/>
      <color theme="1"/>
      <name val="Carlito"/>
      <scheme val="minor"/>
    </font>
    <font>
      <b/>
      <sz val="15.0"/>
      <color rgb="FF202124"/>
      <name val="Carlito"/>
    </font>
    <font>
      <sz val="10.0"/>
      <color rgb="FF263238"/>
      <name val="Carlito"/>
      <scheme val="minor"/>
    </font>
    <font>
      <sz val="10.0"/>
      <color rgb="FF434343"/>
      <name val="Carlito"/>
      <scheme val="minor"/>
    </font>
    <font>
      <b/>
      <sz val="9.0"/>
      <color rgb="FFFF4D00"/>
      <name val="Carlito"/>
    </font>
    <font>
      <b/>
      <sz val="10.0"/>
      <color rgb="FF667085"/>
      <name val="Carlito"/>
    </font>
    <font>
      <b/>
      <sz val="12.0"/>
      <color rgb="FF22252A"/>
      <name val="Carlito"/>
    </font>
    <font>
      <sz val="8.0"/>
      <color rgb="FF6B7280"/>
      <name val="Carlito"/>
    </font>
    <font>
      <sz val="8.0"/>
      <color rgb="FF6B7280"/>
      <name val="PT Sans Caption"/>
    </font>
    <font>
      <b/>
      <sz val="10.0"/>
      <color rgb="FFFFFFFF"/>
      <name val="Carlito"/>
    </font>
    <font>
      <color rgb="FF6B7280"/>
      <name val="Carlito"/>
    </font>
  </fonts>
  <fills count="10">
    <fill>
      <patternFill patternType="none"/>
    </fill>
    <fill>
      <patternFill patternType="lightGray"/>
    </fill>
    <fill>
      <patternFill patternType="solid">
        <fgColor rgb="FF161616"/>
        <bgColor rgb="FF161616"/>
      </patternFill>
    </fill>
    <fill>
      <patternFill patternType="solid">
        <fgColor rgb="FFFFFFFF"/>
        <bgColor rgb="FFFFFFFF"/>
      </patternFill>
    </fill>
    <fill>
      <patternFill patternType="solid">
        <fgColor rgb="FFFF4D00"/>
        <bgColor rgb="FFFF4D00"/>
      </patternFill>
    </fill>
    <fill>
      <patternFill patternType="solid">
        <fgColor rgb="FFF4F5F6"/>
        <bgColor rgb="FFF4F5F6"/>
      </patternFill>
    </fill>
    <fill>
      <patternFill patternType="solid">
        <fgColor rgb="FF172033"/>
        <bgColor rgb="FF172033"/>
      </patternFill>
    </fill>
    <fill>
      <patternFill patternType="solid">
        <fgColor rgb="FFFFF3ED"/>
        <bgColor rgb="FFFFF3ED"/>
      </patternFill>
    </fill>
    <fill>
      <patternFill patternType="solid">
        <fgColor rgb="FFF4F5F7"/>
        <bgColor rgb="FFF4F5F7"/>
      </patternFill>
    </fill>
    <fill>
      <patternFill patternType="solid">
        <fgColor rgb="FF202124"/>
        <bgColor rgb="FF202124"/>
      </patternFill>
    </fill>
  </fills>
  <borders count="5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10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center"/>
    </xf>
    <xf borderId="0" fillId="2" fontId="1" numFmtId="0" xfId="0" applyAlignment="1" applyFill="1" applyFont="1">
      <alignment horizontal="left" vertical="center"/>
    </xf>
    <xf borderId="1" fillId="0" fontId="3" numFmtId="0" xfId="0" applyAlignment="1" applyBorder="1" applyFont="1">
      <alignment horizontal="left" vertical="center"/>
    </xf>
    <xf borderId="2" fillId="0" fontId="4" numFmtId="0" xfId="0" applyBorder="1" applyFont="1"/>
    <xf borderId="0" fillId="3" fontId="2" numFmtId="0" xfId="0" applyFill="1" applyFont="1"/>
    <xf borderId="3" fillId="0" fontId="4" numFmtId="0" xfId="0" applyBorder="1" applyFont="1"/>
    <xf borderId="0" fillId="0" fontId="5" numFmtId="0" xfId="0" applyAlignment="1" applyFont="1">
      <alignment vertical="center"/>
    </xf>
    <xf borderId="0" fillId="3" fontId="6" numFmtId="0" xfId="0" applyFill="1" applyFont="1"/>
    <xf borderId="0" fillId="4" fontId="7" numFmtId="0" xfId="0" applyAlignment="1" applyFill="1" applyFont="1">
      <alignment horizontal="center" vertical="center"/>
    </xf>
    <xf borderId="0" fillId="3" fontId="6" numFmtId="0" xfId="0" applyAlignment="1" applyFill="1" applyFont="1">
      <alignment shrinkToFit="0" vertical="top" wrapText="1"/>
    </xf>
    <xf borderId="0" fillId="5" fontId="8" numFmtId="0" xfId="0" applyAlignment="1" applyFill="1" applyFont="1">
      <alignment horizontal="center" vertical="center"/>
    </xf>
    <xf borderId="0" fillId="5" fontId="8" numFmtId="0" xfId="0" applyAlignment="1" applyFill="1" applyFont="1">
      <alignment horizontal="center" readingOrder="0" vertical="center"/>
    </xf>
    <xf borderId="0" fillId="3" fontId="9" numFmtId="0" xfId="0" applyAlignment="1" applyFill="1" applyFont="1">
      <alignment vertical="center"/>
    </xf>
    <xf borderId="0" fillId="3" fontId="10" numFmtId="1" xfId="0" applyAlignment="1" applyFill="1" applyFont="1" applyNumberFormat="1">
      <alignment horizontal="center" vertical="center"/>
    </xf>
    <xf borderId="0" fillId="5" fontId="11" numFmtId="0" xfId="0" applyAlignment="1" applyFill="1" applyFont="1">
      <alignment vertical="center"/>
    </xf>
    <xf borderId="0" fillId="3" fontId="10" numFmtId="1" xfId="0" applyAlignment="1" applyFill="1" applyFont="1" applyNumberFormat="1">
      <alignment horizontal="center" readingOrder="0" vertical="center"/>
    </xf>
    <xf borderId="0" fillId="4" fontId="7" numFmtId="0" xfId="0" applyAlignment="1" applyFill="1" applyFont="1">
      <alignment horizontal="center" shrinkToFit="0" vertical="center" wrapText="1"/>
    </xf>
    <xf borderId="0" fillId="4" fontId="7" numFmtId="0" xfId="0" applyAlignment="1" applyFill="1" applyFont="1">
      <alignment horizontal="left" shrinkToFit="0" vertical="center" wrapText="1"/>
    </xf>
    <xf borderId="0" fillId="3" fontId="10" numFmtId="164" xfId="0" applyAlignment="1" applyFill="1" applyFont="1" applyNumberFormat="1">
      <alignment horizontal="center" readingOrder="0" vertical="center"/>
    </xf>
    <xf borderId="0" fillId="4" fontId="7" numFmtId="0" xfId="0" applyAlignment="1" applyFill="1" applyFont="1">
      <alignment horizontal="right" shrinkToFit="0" vertical="center" wrapText="1"/>
    </xf>
    <xf borderId="0" fillId="3" fontId="12" numFmtId="0" xfId="0" applyAlignment="1" applyFill="1" applyFont="1">
      <alignment shrinkToFit="0" vertical="center" wrapText="1"/>
    </xf>
    <xf borderId="0" fillId="3" fontId="10" numFmtId="0" xfId="0" applyAlignment="1" applyFill="1" applyFont="1">
      <alignment horizontal="center" readingOrder="0" vertical="center"/>
    </xf>
    <xf borderId="0" fillId="0" fontId="6" numFmtId="0" xfId="0" applyAlignment="1" applyFont="1">
      <alignment horizontal="center" vertical="center"/>
    </xf>
    <xf borderId="0" fillId="0" fontId="6" numFmtId="165" xfId="0" applyAlignment="1" applyFont="1" applyNumberFormat="1">
      <alignment horizontal="center" readingOrder="0" vertical="center"/>
    </xf>
    <xf borderId="0" fillId="0" fontId="6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 vertical="center"/>
    </xf>
    <xf borderId="0" fillId="3" fontId="6" numFmtId="0" xfId="0" applyAlignment="1" applyFill="1" applyFont="1">
      <alignment horizontal="center" shrinkToFit="0" vertical="center" wrapText="1"/>
    </xf>
    <xf borderId="0" fillId="3" fontId="6" numFmtId="165" xfId="0" applyAlignment="1" applyFill="1" applyFont="1" applyNumberFormat="1">
      <alignment horizontal="center" shrinkToFit="0" vertical="center" wrapText="1"/>
    </xf>
    <xf borderId="0" fillId="3" fontId="6" numFmtId="0" xfId="0" applyAlignment="1" applyFill="1" applyFont="1">
      <alignment readingOrder="0" shrinkToFit="0" vertical="center" wrapText="1"/>
    </xf>
    <xf borderId="0" fillId="0" fontId="6" numFmtId="0" xfId="0" applyAlignment="1" applyFont="1">
      <alignment horizontal="left" readingOrder="0" vertical="center"/>
    </xf>
    <xf borderId="0" fillId="0" fontId="6" numFmtId="3" xfId="0" applyAlignment="1" applyFont="1" applyNumberFormat="1">
      <alignment readingOrder="0" vertical="center"/>
    </xf>
    <xf borderId="0" fillId="0" fontId="13" numFmtId="166" xfId="0" applyAlignment="1" applyFont="1" applyNumberFormat="1">
      <alignment horizontal="right" readingOrder="0" vertical="center"/>
    </xf>
    <xf borderId="4" fillId="0" fontId="14" numFmtId="0" xfId="0" applyAlignment="1" applyBorder="1" applyFont="1">
      <alignment readingOrder="0" shrinkToFit="0" vertical="center" wrapText="1"/>
    </xf>
    <xf borderId="0" fillId="0" fontId="6" numFmtId="21" xfId="0" applyAlignment="1" applyFont="1" applyNumberFormat="1">
      <alignment horizontal="right" readingOrder="0" vertical="center"/>
    </xf>
    <xf borderId="0" fillId="0" fontId="6" numFmtId="10" xfId="0" applyAlignment="1" applyFont="1" applyNumberFormat="1">
      <alignment readingOrder="0" vertical="center"/>
    </xf>
    <xf borderId="0" fillId="0" fontId="6" numFmtId="167" xfId="0" applyAlignment="1" applyFont="1" applyNumberFormat="1">
      <alignment readingOrder="0" vertical="center"/>
    </xf>
    <xf borderId="0" fillId="3" fontId="6" numFmtId="0" xfId="0" applyAlignment="1" applyFill="1" applyFont="1">
      <alignment horizontal="center" readingOrder="0" vertical="center"/>
    </xf>
    <xf borderId="0" fillId="0" fontId="6" numFmtId="164" xfId="0" applyAlignment="1" applyFont="1" applyNumberFormat="1">
      <alignment vertical="center"/>
    </xf>
    <xf borderId="0" fillId="0" fontId="15" numFmtId="0" xfId="0" applyAlignment="1" applyFont="1">
      <alignment readingOrder="0" shrinkToFit="0" vertical="center" wrapText="1"/>
    </xf>
    <xf borderId="0" fillId="3" fontId="6" numFmtId="0" xfId="0" applyAlignment="1" applyFill="1" applyFont="1">
      <alignment horizontal="center" vertical="center"/>
    </xf>
    <xf borderId="0" fillId="0" fontId="6" numFmtId="0" xfId="0" applyAlignment="1" applyFont="1">
      <alignment vertical="center"/>
    </xf>
    <xf borderId="0" fillId="3" fontId="6" numFmtId="0" xfId="0" applyAlignment="1" applyFill="1" applyFont="1">
      <alignment readingOrder="0" shrinkToFit="0" vertical="center" wrapText="1"/>
    </xf>
    <xf borderId="0" fillId="3" fontId="6" numFmtId="3" xfId="0" applyAlignment="1" applyFill="1" applyFont="1" applyNumberFormat="1">
      <alignment readingOrder="0" vertical="center"/>
    </xf>
    <xf borderId="0" fillId="3" fontId="6" numFmtId="21" xfId="0" applyAlignment="1" applyFill="1" applyFont="1" applyNumberFormat="1">
      <alignment horizontal="right" readingOrder="0" vertical="center"/>
    </xf>
    <xf borderId="0" fillId="3" fontId="6" numFmtId="10" xfId="0" applyAlignment="1" applyFill="1" applyFont="1" applyNumberFormat="1">
      <alignment readingOrder="0" vertical="center"/>
    </xf>
    <xf borderId="0" fillId="3" fontId="6" numFmtId="167" xfId="0" applyAlignment="1" applyFill="1" applyFont="1" applyNumberFormat="1">
      <alignment readingOrder="0" vertical="center"/>
    </xf>
    <xf borderId="0" fillId="3" fontId="6" numFmtId="164" xfId="0" applyAlignment="1" applyFill="1" applyFont="1" applyNumberFormat="1">
      <alignment vertical="center"/>
    </xf>
    <xf borderId="0" fillId="2" fontId="1" numFmtId="0" xfId="0" applyAlignment="1" applyFill="1" applyFont="1">
      <alignment readingOrder="0" vertical="center"/>
    </xf>
    <xf borderId="4" fillId="0" fontId="16" numFmtId="0" xfId="0" applyAlignment="1" applyBorder="1" applyFont="1">
      <alignment readingOrder="0" shrinkToFit="0" vertical="center" wrapText="1"/>
    </xf>
    <xf borderId="0" fillId="3" fontId="17" numFmtId="0" xfId="0" applyFill="1" applyFont="1"/>
    <xf borderId="0" fillId="3" fontId="6" numFmtId="165" xfId="0" applyAlignment="1" applyFill="1" applyFont="1" applyNumberFormat="1">
      <alignment horizontal="center" vertical="center"/>
    </xf>
    <xf borderId="0" fillId="3" fontId="6" numFmtId="0" xfId="0" applyAlignment="1" applyFill="1" applyFont="1">
      <alignment shrinkToFit="0" vertical="center" wrapText="1"/>
    </xf>
    <xf borderId="0" fillId="3" fontId="6" numFmtId="0" xfId="0" applyAlignment="1" applyFill="1" applyFont="1">
      <alignment vertical="center"/>
    </xf>
    <xf borderId="0" fillId="3" fontId="6" numFmtId="3" xfId="0" applyAlignment="1" applyFill="1" applyFont="1" applyNumberFormat="1">
      <alignment vertical="center"/>
    </xf>
    <xf borderId="0" fillId="0" fontId="6" numFmtId="166" xfId="0" applyAlignment="1" applyFont="1" applyNumberFormat="1">
      <alignment vertical="center"/>
    </xf>
    <xf borderId="0" fillId="3" fontId="6" numFmtId="0" xfId="0" applyAlignment="1" applyFill="1" applyFont="1">
      <alignment horizontal="right" vertical="center"/>
    </xf>
    <xf borderId="0" fillId="3" fontId="6" numFmtId="10" xfId="0" applyAlignment="1" applyFill="1" applyFont="1" applyNumberFormat="1">
      <alignment vertical="center"/>
    </xf>
    <xf borderId="0" fillId="3" fontId="6" numFmtId="167" xfId="0" applyAlignment="1" applyFill="1" applyFont="1" applyNumberFormat="1">
      <alignment vertical="center"/>
    </xf>
    <xf borderId="0" fillId="3" fontId="18" numFmtId="0" xfId="0" applyFill="1" applyFont="1"/>
    <xf borderId="0" fillId="3" fontId="12" numFmtId="0" xfId="0" applyFill="1" applyFont="1"/>
    <xf borderId="0" fillId="3" fontId="11" numFmtId="3" xfId="0" applyFill="1" applyFont="1" applyNumberFormat="1"/>
    <xf borderId="0" fillId="3" fontId="11" numFmtId="10" xfId="0" applyFill="1" applyFont="1" applyNumberFormat="1"/>
    <xf borderId="4" fillId="0" fontId="19" numFmtId="0" xfId="0" applyAlignment="1" applyBorder="1" applyFont="1">
      <alignment shrinkToFit="0" vertical="center" wrapText="1"/>
    </xf>
    <xf borderId="0" fillId="0" fontId="5" numFmtId="0" xfId="0" applyFont="1"/>
    <xf borderId="0" fillId="3" fontId="11" numFmtId="167" xfId="0" applyFill="1" applyFont="1" applyNumberFormat="1"/>
    <xf borderId="0" fillId="2" fontId="20" numFmtId="0" xfId="0" applyAlignment="1" applyFill="1" applyFont="1">
      <alignment readingOrder="0" vertical="center"/>
    </xf>
    <xf borderId="0" fillId="5" fontId="21" numFmtId="0" xfId="0" applyAlignment="1" applyFill="1" applyFont="1">
      <alignment horizontal="center" vertical="center"/>
    </xf>
    <xf borderId="0" fillId="5" fontId="21" numFmtId="0" xfId="0" applyAlignment="1" applyFill="1" applyFont="1">
      <alignment horizontal="center" readingOrder="0" vertical="center"/>
    </xf>
    <xf borderId="0" fillId="3" fontId="22" numFmtId="1" xfId="0" applyAlignment="1" applyFill="1" applyFont="1" applyNumberFormat="1">
      <alignment horizontal="center" readingOrder="0" vertical="center"/>
    </xf>
    <xf borderId="0" fillId="3" fontId="22" numFmtId="3" xfId="0" applyAlignment="1" applyFill="1" applyFont="1" applyNumberFormat="1">
      <alignment horizontal="center" readingOrder="0" vertical="center"/>
    </xf>
    <xf borderId="0" fillId="3" fontId="22" numFmtId="166" xfId="0" applyAlignment="1" applyFill="1" applyFont="1" applyNumberFormat="1">
      <alignment horizontal="center" readingOrder="0" vertical="center"/>
    </xf>
    <xf borderId="0" fillId="3" fontId="22" numFmtId="167" xfId="0" applyAlignment="1" applyFill="1" applyFont="1" applyNumberFormat="1">
      <alignment horizontal="center" readingOrder="0" vertical="center"/>
    </xf>
    <xf borderId="0" fillId="3" fontId="22" numFmtId="9" xfId="0" applyAlignment="1" applyFill="1" applyFont="1" applyNumberFormat="1">
      <alignment horizontal="center" vertical="center"/>
    </xf>
    <xf borderId="1" fillId="0" fontId="23" numFmtId="0" xfId="0" applyAlignment="1" applyBorder="1" applyFont="1">
      <alignment readingOrder="0" vertical="center"/>
    </xf>
    <xf borderId="0" fillId="6" fontId="24" numFmtId="0" xfId="0" applyAlignment="1" applyFill="1" applyFont="1">
      <alignment horizontal="center" shrinkToFit="0" vertical="center" wrapText="1"/>
    </xf>
    <xf borderId="0" fillId="3" fontId="11" numFmtId="0" xfId="0" applyAlignment="1" applyFill="1" applyFont="1">
      <alignment readingOrder="0" vertical="center"/>
    </xf>
    <xf borderId="0" fillId="0" fontId="25" numFmtId="0" xfId="0" applyAlignment="1" applyFont="1">
      <alignment readingOrder="0" vertical="center"/>
    </xf>
    <xf borderId="0" fillId="0" fontId="25" numFmtId="0" xfId="0" applyAlignment="1" applyFont="1">
      <alignment vertical="center"/>
    </xf>
    <xf borderId="0" fillId="7" fontId="26" numFmtId="0" xfId="0" applyAlignment="1" applyFill="1" applyFont="1">
      <alignment shrinkToFit="0" vertical="center" wrapText="1"/>
    </xf>
    <xf borderId="0" fillId="0" fontId="27" numFmtId="0" xfId="0" applyAlignment="1" applyFont="1">
      <alignment readingOrder="0" shrinkToFit="0" vertical="center" wrapText="1"/>
    </xf>
    <xf borderId="0" fillId="3" fontId="21" numFmtId="0" xfId="0" applyAlignment="1" applyFill="1" applyFont="1">
      <alignment horizontal="center"/>
    </xf>
    <xf borderId="0" fillId="0" fontId="27" numFmtId="0" xfId="0" applyAlignment="1" applyFont="1">
      <alignment shrinkToFit="0" vertical="center" wrapText="1"/>
    </xf>
    <xf borderId="0" fillId="0" fontId="28" numFmtId="0" xfId="0" applyAlignment="1" applyFont="1">
      <alignment shrinkToFit="0" vertical="center" wrapText="1"/>
    </xf>
    <xf borderId="0" fillId="3" fontId="10" numFmtId="3" xfId="0" applyAlignment="1" applyFill="1" applyFont="1" applyNumberFormat="1">
      <alignment horizontal="center" readingOrder="0" vertical="center"/>
    </xf>
    <xf borderId="0" fillId="3" fontId="10" numFmtId="164" xfId="0" applyAlignment="1" applyFill="1" applyFont="1" applyNumberFormat="1">
      <alignment horizontal="center" vertical="center"/>
    </xf>
    <xf borderId="0" fillId="0" fontId="28" numFmtId="0" xfId="0" applyAlignment="1" applyFont="1">
      <alignment vertical="center"/>
    </xf>
    <xf borderId="0" fillId="3" fontId="10" numFmtId="167" xfId="0" applyAlignment="1" applyFill="1" applyFont="1" applyNumberFormat="1">
      <alignment horizontal="center" readingOrder="0" vertical="center"/>
    </xf>
    <xf borderId="0" fillId="3" fontId="29" numFmtId="0" xfId="0" applyAlignment="1" applyFill="1" applyFont="1">
      <alignment vertical="center"/>
    </xf>
    <xf borderId="0" fillId="0" fontId="12" numFmtId="0" xfId="0" applyAlignment="1" applyFont="1">
      <alignment readingOrder="0" shrinkToFit="0" vertical="center" wrapText="1"/>
    </xf>
    <xf borderId="0" fillId="0" fontId="12" numFmtId="0" xfId="0" applyAlignment="1" applyFont="1">
      <alignment readingOrder="0" shrinkToFit="0" vertical="top" wrapText="1"/>
    </xf>
    <xf borderId="0" fillId="8" fontId="30" numFmtId="0" xfId="0" applyAlignment="1" applyFill="1" applyFont="1">
      <alignment horizontal="center" shrinkToFit="0" vertical="center" wrapText="1"/>
    </xf>
    <xf borderId="0" fillId="8" fontId="30" numFmtId="0" xfId="0" applyAlignment="1" applyFill="1" applyFont="1">
      <alignment horizontal="center" readingOrder="0" shrinkToFit="0" vertical="center" wrapText="1"/>
    </xf>
    <xf borderId="0" fillId="3" fontId="31" numFmtId="0" xfId="0" applyAlignment="1" applyFill="1" applyFont="1">
      <alignment horizontal="center" shrinkToFit="0" wrapText="1"/>
    </xf>
    <xf borderId="0" fillId="3" fontId="31" numFmtId="0" xfId="0" applyAlignment="1" applyFill="1" applyFont="1">
      <alignment horizontal="center" readingOrder="0" shrinkToFit="0" wrapText="1"/>
    </xf>
    <xf borderId="0" fillId="0" fontId="5" numFmtId="0" xfId="0" applyAlignment="1" applyFont="1">
      <alignment readingOrder="0"/>
    </xf>
    <xf borderId="0" fillId="3" fontId="32" numFmtId="0" xfId="0" applyFill="1" applyFont="1"/>
    <xf borderId="0" fillId="3" fontId="33" numFmtId="0" xfId="0" applyFill="1" applyFont="1"/>
    <xf borderId="0" fillId="9" fontId="34" numFmtId="0" xfId="0" applyAlignment="1" applyFill="1" applyFont="1">
      <alignment vertical="center"/>
    </xf>
    <xf borderId="0" fillId="9" fontId="34" numFmtId="0" xfId="0" applyAlignment="1" applyFill="1" applyFont="1">
      <alignment horizontal="right" vertical="center"/>
    </xf>
    <xf borderId="0" fillId="2" fontId="34" numFmtId="0" xfId="0" applyAlignment="1" applyFill="1" applyFont="1">
      <alignment vertical="center"/>
    </xf>
    <xf borderId="0" fillId="2" fontId="34" numFmtId="0" xfId="0" applyAlignment="1" applyFill="1" applyFont="1">
      <alignment horizontal="right" vertical="center"/>
    </xf>
    <xf borderId="0" fillId="3" fontId="6" numFmtId="1" xfId="0" applyAlignment="1" applyFill="1" applyFont="1" applyNumberFormat="1">
      <alignment readingOrder="0"/>
    </xf>
    <xf borderId="0" fillId="3" fontId="6" numFmtId="9" xfId="0" applyFill="1" applyFont="1" applyNumberFormat="1"/>
    <xf borderId="0" fillId="3" fontId="6" numFmtId="0" xfId="0" applyAlignment="1" applyFill="1" applyFont="1">
      <alignment readingOrder="0"/>
    </xf>
    <xf borderId="0" fillId="3" fontId="6" numFmtId="1" xfId="0" applyFill="1" applyFont="1" applyNumberFormat="1"/>
    <xf borderId="0" fillId="3" fontId="6" numFmtId="0" xfId="0" applyAlignment="1" applyFill="1" applyFont="1">
      <alignment readingOrder="0"/>
    </xf>
    <xf borderId="0" fillId="3" fontId="35" numFmtId="0" xfId="0" applyAlignment="1" applyFill="1" applyFont="1">
      <alignment shrinkToFit="0" vertical="bottom" wrapText="1"/>
    </xf>
  </cellXfs>
  <cellStyles count="1">
    <cellStyle xfId="0" name="Normal" builtinId="0"/>
  </cellStyles>
  <dxfs count="2">
    <dxf>
      <font>
        <b/>
      </font>
      <fill>
        <patternFill patternType="solid">
          <fgColor rgb="FFFFF3ED"/>
          <bgColor rgb="FFFFF3ED"/>
        </patternFill>
      </fill>
      <border/>
    </dxf>
    <dxf>
      <font/>
      <fill>
        <patternFill patternType="solid">
          <fgColor rgb="FFFFF3ED"/>
          <bgColor rgb="FFFFF3E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Content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'01 Executive Summary'!$B$40</c:f>
            </c:strRef>
          </c:tx>
          <c:dPt>
            <c:idx val="0"/>
            <c:spPr>
              <a:solidFill>
                <a:srgbClr val="4A86E8"/>
              </a:solidFill>
            </c:spPr>
          </c:dPt>
          <c:dPt>
            <c:idx val="1"/>
            <c:spPr>
              <a:solidFill>
                <a:srgbClr val="E97132"/>
              </a:solidFill>
            </c:spPr>
          </c:dPt>
          <c:dPt>
            <c:idx val="2"/>
            <c:spPr>
              <a:solidFill>
                <a:srgbClr val="196B2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'01 Executive Summary'!$A$41:$A$43</c:f>
            </c:strRef>
          </c:cat>
          <c:val>
            <c:numRef>
              <c:f>'01 Executive Summary'!$B$41:$B$43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Content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'01 Executive Summary'!$I$40</c:f>
            </c:strRef>
          </c:tx>
          <c:dPt>
            <c:idx val="0"/>
            <c:spPr>
              <a:solidFill>
                <a:srgbClr val="4A86E8"/>
              </a:solidFill>
            </c:spPr>
          </c:dPt>
          <c:dPt>
            <c:idx val="1"/>
            <c:spPr>
              <a:solidFill>
                <a:srgbClr val="E97132"/>
              </a:solidFill>
            </c:spPr>
          </c:dPt>
          <c:dPt>
            <c:idx val="2"/>
            <c:spPr>
              <a:solidFill>
                <a:srgbClr val="196B24"/>
              </a:solidFill>
            </c:spPr>
          </c:dPt>
          <c:dPt>
            <c:idx val="3"/>
            <c:spPr>
              <a:solidFill>
                <a:srgbClr val="0F9ED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'01 Executive Summary'!$H$41:$H$44</c:f>
            </c:strRef>
          </c:cat>
          <c:val>
            <c:numRef>
              <c:f>'01 Executive Summary'!$I$41:$I$44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25</xdr:row>
      <xdr:rowOff>152400</xdr:rowOff>
    </xdr:from>
    <xdr:ext cx="4029075" cy="24193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1047750</xdr:colOff>
      <xdr:row>25</xdr:row>
      <xdr:rowOff>152400</xdr:rowOff>
    </xdr:from>
    <xdr:ext cx="4029075" cy="24193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</xdr:row>
      <xdr:rowOff>180975</xdr:rowOff>
    </xdr:from>
    <xdr:ext cx="9867900" cy="520065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466725" cy="1905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</xdr:row>
      <xdr:rowOff>171450</xdr:rowOff>
    </xdr:from>
    <xdr:ext cx="9877425" cy="20574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-qgU4zJuOpU" TargetMode="External"/><Relationship Id="rId2" Type="http://schemas.openxmlformats.org/officeDocument/2006/relationships/hyperlink" Target="https://www.youtube.com/watch?v=w6jFZhBhHpI" TargetMode="External"/><Relationship Id="rId3" Type="http://schemas.openxmlformats.org/officeDocument/2006/relationships/hyperlink" Target="https://www.youtube.com/watch?v=0orgcuEEs4o" TargetMode="External"/><Relationship Id="rId4" Type="http://schemas.openxmlformats.org/officeDocument/2006/relationships/hyperlink" Target="https://www.youtube.com/watch?v=Q__j3uXKwCA" TargetMode="External"/><Relationship Id="rId5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2" width="12.63"/>
  </cols>
  <sheetData>
    <row r="1" ht="24.0" customHeight="1">
      <c r="A1" s="66" t="str">
        <f>"MAIN KE KUDUS - YOUTUBE MONTHLY PERFORMANCE REPORT - " &amp; (UPPER(Ref!I2)) &amp; " " &amp; Ref!J2</f>
        <v>MAIN KE KUDUS - YOUTUBE MONTHLY PERFORMANCE REPORT - SEPTEMBER 2026</v>
      </c>
    </row>
    <row r="2" ht="24.0" customHeight="1"/>
    <row r="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 ht="18.0" customHeight="1">
      <c r="A4" s="67" t="s">
        <v>69</v>
      </c>
      <c r="C4" s="67" t="s">
        <v>70</v>
      </c>
      <c r="E4" s="68" t="s">
        <v>71</v>
      </c>
      <c r="G4" s="67" t="s">
        <v>72</v>
      </c>
      <c r="I4" s="67" t="s">
        <v>73</v>
      </c>
      <c r="K4" s="67" t="s">
        <v>74</v>
      </c>
    </row>
    <row r="5">
      <c r="A5" s="69">
        <f>COUNTA('03 Publishing Log'!G9:G12)</f>
        <v>4</v>
      </c>
      <c r="C5" s="70">
        <f>SUM('02 Video Performance'!F6:F9)</f>
        <v>732</v>
      </c>
      <c r="E5" s="71">
        <f>SUM('02 Video Performance'!H6:H9)</f>
        <v>12.154</v>
      </c>
      <c r="G5" s="72">
        <f>SUM('02 Video Performance'!L6:L9)</f>
        <v>5</v>
      </c>
      <c r="I5" s="70">
        <f>SUM('02 Video Performance'!J6:J9)</f>
        <v>6203</v>
      </c>
      <c r="K5" s="73">
        <f>A5/4</f>
        <v>1</v>
      </c>
    </row>
    <row r="7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</row>
    <row r="8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</row>
    <row r="9">
      <c r="A9" s="74" t="s">
        <v>75</v>
      </c>
      <c r="B9" s="4"/>
      <c r="C9" s="4"/>
      <c r="D9" s="4"/>
      <c r="E9" s="4"/>
      <c r="F9" s="4"/>
      <c r="G9" s="4"/>
      <c r="H9" s="4"/>
      <c r="I9" s="4"/>
      <c r="J9" s="6"/>
      <c r="K9" s="76"/>
      <c r="L9" s="76"/>
    </row>
    <row r="10" ht="22.5" customHeight="1">
      <c r="A10" s="79" t="str">
        <f>'03 Publishing Log'!C9</f>
        <v>Caffino Srikandi Merdeka Cup 2026 (Recap)</v>
      </c>
      <c r="G10" s="81" t="s">
        <v>84</v>
      </c>
      <c r="I10" s="81" t="s">
        <v>86</v>
      </c>
      <c r="K10" s="81" t="s">
        <v>72</v>
      </c>
    </row>
    <row r="11" ht="22.5" customHeight="1">
      <c r="G11" s="84">
        <f>MAX('02 Video Performance'!F6:F9)</f>
        <v>350</v>
      </c>
      <c r="I11" s="85">
        <f>G11/C5</f>
        <v>0.4781420765</v>
      </c>
      <c r="K11" s="87">
        <f t="array" ref="K11">INDEX('02 Video Performance'!L6:L9,MATCH(G11,'02 Video Performance'!F6:F9,0))</f>
        <v>1</v>
      </c>
    </row>
    <row r="12" ht="22.5" customHeight="1"/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</row>
    <row r="15" ht="22.5" customHeight="1">
      <c r="A15" s="88" t="s">
        <v>103</v>
      </c>
    </row>
    <row r="16" ht="22.5" customHeight="1">
      <c r="A16" s="89" t="str">
        <f t="array" ref="A16">INDEX('02 Video Performance'!C6:C9,MATCH(MAX('02 Video Performance'!F6:F9),'02 Video Performance'!F6:F9,0)) &amp; " drove " &amp; TEXT(MAX('02 Video Performance'!F6:F9)/C5,"0.0%") &amp; " of September video views and " &amp; TEXT(INDEX('02 Video Performance'!H6:H9,MATCH(MAX('02 Video Performance'!F6:F9),'02 Video Performance'!F6:F9,0))/E5,"0.0%") &amp; " of watch time."</f>
        <v>Caffino Srikandi Merdeka Cup 2026 (Recap) drove 47.8% of September video views and 67.0% of watch time.</v>
      </c>
      <c r="L16" s="90"/>
    </row>
    <row r="17" ht="22.5" customHeight="1">
      <c r="A17" s="89" t="str">
        <f t="array" ref="A17">INDEX('02 Video Performance'!C6:C9,MATCH(MAX('02 Video Performance'!K6:K9),'02 Video Performance'!K6:K9,0)) &amp; " recorded the highest thumbnail CTR at " &amp; TEXT(MAX('02 Video Performance'!K6:K9),"0.00%") &amp; " among the four published videos."</f>
        <v>Sapphire Boutique Hotel | Esthetic Staycation di Kudus recorded the highest thumbnail CTR at 8.21% among the four published videos.</v>
      </c>
      <c r="L17" s="90"/>
    </row>
    <row r="18" ht="22.5" customHeight="1">
      <c r="A18" s="89" t="str">
        <f t="array" ref="A18">INDEX('02 Video Performance'!C6:C9,MATCH(MAX('02 Video Performance'!L6:L9),'02 Video Performance'!L6:L9,0)) &amp; " generated the most subscribers (+" &amp; MAX('02 Video Performance'!L6:L9) &amp; "), accounting for " &amp; TEXT(MAX('02 Video Performance'!L6:L9)/G5,"0%") &amp; " of video-attributed subscriber gains."</f>
        <v>Sapphire Boutique Hotel | Esthetic Staycation di Kudus generated the most subscribers (+4), accounting for 80% of video-attributed subscriber gains.</v>
      </c>
      <c r="L18" s="90"/>
    </row>
    <row r="19">
      <c r="B19" s="90"/>
      <c r="C19" s="90"/>
      <c r="D19" s="90"/>
      <c r="E19" s="90"/>
      <c r="F19" s="90"/>
      <c r="G19" s="90"/>
      <c r="H19" s="90"/>
      <c r="I19" s="90"/>
      <c r="J19" s="90"/>
      <c r="K19" s="90"/>
      <c r="L19" s="90"/>
    </row>
    <row r="20">
      <c r="A20" s="90"/>
      <c r="B20" s="90"/>
      <c r="C20" s="90"/>
      <c r="D20" s="90"/>
      <c r="E20" s="90"/>
      <c r="F20" s="90"/>
      <c r="G20" s="90"/>
      <c r="H20" s="90"/>
      <c r="I20" s="90"/>
      <c r="J20" s="90"/>
      <c r="K20" s="90"/>
      <c r="L20" s="90"/>
    </row>
    <row r="21" ht="22.5" customHeight="1">
      <c r="A21" s="91" t="s">
        <v>106</v>
      </c>
      <c r="C21" s="91" t="s">
        <v>107</v>
      </c>
      <c r="E21" s="92" t="s">
        <v>108</v>
      </c>
      <c r="G21" s="92" t="str">
        <f>UPPER(Ref!I2) &amp; " YOUTUBE PUBLISHED"</f>
        <v>SEPTEMBER YOUTUBE PUBLISHED</v>
      </c>
      <c r="I21" s="91" t="s">
        <v>109</v>
      </c>
      <c r="K21" s="91" t="s">
        <v>110</v>
      </c>
    </row>
    <row r="22" ht="15.75" customHeight="1">
      <c r="A22" s="93" t="s">
        <v>111</v>
      </c>
      <c r="C22" s="93">
        <v>13.0</v>
      </c>
      <c r="E22" s="93">
        <v>5.0</v>
      </c>
      <c r="G22" s="94">
        <v>4.0</v>
      </c>
      <c r="I22" s="94">
        <v>4.0</v>
      </c>
      <c r="K22" s="93" t="s">
        <v>112</v>
      </c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</row>
    <row r="25" ht="22.5" customHeight="1">
      <c r="A25" s="15" t="s">
        <v>113</v>
      </c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</row>
    <row r="27" ht="15.75" customHeight="1">
      <c r="D27" s="8"/>
      <c r="E27" s="8"/>
      <c r="F27" s="8"/>
      <c r="H27" s="95" t="s">
        <v>114</v>
      </c>
      <c r="J27" s="8"/>
      <c r="K27" s="8"/>
      <c r="L27" s="8"/>
    </row>
    <row r="28" ht="15.75" customHeight="1">
      <c r="D28" s="8"/>
      <c r="E28" s="8"/>
      <c r="F28" s="8"/>
      <c r="J28" s="8"/>
      <c r="K28" s="8"/>
      <c r="L28" s="8"/>
    </row>
    <row r="29" ht="15.75" customHeight="1">
      <c r="D29" s="8"/>
      <c r="E29" s="8"/>
      <c r="F29" s="8"/>
      <c r="J29" s="8"/>
      <c r="K29" s="8"/>
      <c r="L29" s="8"/>
    </row>
    <row r="30" ht="15.75" customHeight="1">
      <c r="D30" s="8"/>
      <c r="E30" s="8"/>
      <c r="F30" s="8"/>
      <c r="J30" s="8"/>
      <c r="K30" s="8"/>
      <c r="L30" s="8"/>
    </row>
    <row r="31" ht="15.75" customHeight="1">
      <c r="A31" s="8"/>
      <c r="B31" s="8"/>
      <c r="C31" s="8"/>
      <c r="D31" s="8"/>
      <c r="E31" s="8"/>
      <c r="F31" s="8"/>
      <c r="J31" s="8"/>
      <c r="K31" s="8"/>
      <c r="L31" s="8"/>
    </row>
    <row r="32" ht="15.75" customHeight="1"/>
    <row r="33" ht="15.75" customHeight="1">
      <c r="D33" s="96"/>
      <c r="E33" s="97"/>
      <c r="F33" s="96"/>
      <c r="G33" s="96"/>
      <c r="H33" s="96"/>
      <c r="I33" s="96"/>
      <c r="J33" s="96"/>
      <c r="K33" s="96"/>
      <c r="L33" s="96"/>
    </row>
    <row r="34" ht="15.75" customHeight="1">
      <c r="D34" s="8"/>
      <c r="E34" s="8"/>
      <c r="F34" s="8"/>
      <c r="G34" s="8"/>
      <c r="H34" s="8"/>
      <c r="I34" s="8"/>
      <c r="J34" s="8"/>
      <c r="K34" s="8"/>
      <c r="L34" s="8"/>
    </row>
    <row r="35" ht="15.75" customHeight="1">
      <c r="D35" s="8"/>
      <c r="E35" s="8"/>
      <c r="F35" s="8"/>
      <c r="G35" s="8"/>
      <c r="H35" s="8"/>
      <c r="I35" s="8"/>
      <c r="J35" s="8"/>
      <c r="K35" s="8"/>
      <c r="L35" s="8"/>
    </row>
    <row r="36" ht="15.75" customHeight="1">
      <c r="D36" s="8"/>
      <c r="E36" s="8"/>
      <c r="F36" s="8"/>
      <c r="G36" s="8"/>
      <c r="H36" s="8"/>
      <c r="I36" s="8"/>
      <c r="J36" s="8"/>
      <c r="K36" s="8"/>
      <c r="L36" s="8"/>
    </row>
    <row r="37" ht="15.75" customHeight="1">
      <c r="D37" s="8"/>
      <c r="E37" s="8"/>
      <c r="F37" s="8"/>
      <c r="G37" s="8"/>
      <c r="K37" s="8"/>
      <c r="L37" s="8"/>
    </row>
    <row r="38" ht="15.75" customHeight="1"/>
    <row r="39" ht="15.75" customHeight="1"/>
    <row r="40" ht="15.75" customHeight="1">
      <c r="A40" s="98" t="s">
        <v>115</v>
      </c>
      <c r="B40" s="99" t="s">
        <v>53</v>
      </c>
      <c r="C40" s="99" t="s">
        <v>116</v>
      </c>
      <c r="H40" s="100" t="s">
        <v>117</v>
      </c>
      <c r="I40" s="101" t="s">
        <v>53</v>
      </c>
      <c r="J40" s="101" t="s">
        <v>116</v>
      </c>
    </row>
    <row r="41" ht="16.5" customHeight="1">
      <c r="A41" s="8" t="s">
        <v>61</v>
      </c>
      <c r="B41" s="102">
        <f>COUNTIF('03 Publishing Log'!E9:E13, A41)</f>
        <v>3</v>
      </c>
      <c r="C41" s="103">
        <f>B41/B44</f>
        <v>0.75</v>
      </c>
      <c r="H41" s="104" t="s">
        <v>50</v>
      </c>
      <c r="I41" s="102">
        <f>COUNTIF('03 Publishing Log'!F9:F13, H41)</f>
        <v>1</v>
      </c>
      <c r="J41" s="103">
        <f>I41/I45</f>
        <v>0.25</v>
      </c>
    </row>
    <row r="42" ht="16.5" customHeight="1">
      <c r="A42" s="104" t="s">
        <v>51</v>
      </c>
      <c r="B42" s="102">
        <f>COUNTIF('03 Publishing Log'!E9:E13, A42)</f>
        <v>1</v>
      </c>
      <c r="C42" s="103">
        <f>B42/B44</f>
        <v>0.25</v>
      </c>
      <c r="H42" s="104" t="s">
        <v>54</v>
      </c>
      <c r="I42" s="105">
        <f>COUNTIF('03 Publishing Log'!F9:F13, H42)</f>
        <v>1</v>
      </c>
      <c r="J42" s="103">
        <f>I42/I45</f>
        <v>0.25</v>
      </c>
    </row>
    <row r="43" ht="16.5" customHeight="1">
      <c r="A43" s="104" t="s">
        <v>96</v>
      </c>
      <c r="B43" s="102">
        <f>COUNTIF('03 Publishing Log'!E9:E13, A43)</f>
        <v>0</v>
      </c>
      <c r="C43" s="103">
        <f>B43/B44</f>
        <v>0</v>
      </c>
      <c r="H43" s="104" t="s">
        <v>56</v>
      </c>
      <c r="I43" s="105">
        <f>COUNTIF('03 Publishing Log'!F9:F13, H43)</f>
        <v>1</v>
      </c>
      <c r="J43" s="103">
        <f>I43/I45</f>
        <v>0.25</v>
      </c>
    </row>
    <row r="44" ht="15.75" customHeight="1">
      <c r="A44" s="8" t="s">
        <v>118</v>
      </c>
      <c r="B44" s="105">
        <f>SUM(B41:B43)</f>
        <v>4</v>
      </c>
      <c r="C44" s="103">
        <v>1.0</v>
      </c>
      <c r="H44" s="104" t="s">
        <v>60</v>
      </c>
      <c r="I44" s="105">
        <f>COUNTIF('03 Publishing Log'!F9:F13, H44)</f>
        <v>1</v>
      </c>
      <c r="J44" s="103">
        <f>I44/I45</f>
        <v>0.25</v>
      </c>
    </row>
    <row r="45" ht="15.75" customHeight="1">
      <c r="A45" s="8"/>
      <c r="B45" s="105"/>
      <c r="C45" s="103"/>
      <c r="H45" s="106" t="s">
        <v>53</v>
      </c>
      <c r="I45" s="105">
        <f>SUM(I41:I44)</f>
        <v>4</v>
      </c>
      <c r="J45" s="103">
        <v>1.0</v>
      </c>
    </row>
    <row r="46" ht="15.75" customHeight="1">
      <c r="A46" s="8"/>
      <c r="B46" s="105"/>
      <c r="C46" s="103"/>
      <c r="H46" s="106"/>
      <c r="I46" s="105"/>
      <c r="J46" s="103"/>
    </row>
    <row r="47" ht="15.75" customHeight="1">
      <c r="A47" s="107" t="str">
        <f>Ref!I2 &amp; " performance covers " &amp; COUNT('02 Video Performance'!K6:K999) &amp; " published YouTube videos from a June production batch of 13 landscape video assets. " &amp; CHOOSE(I22 + 1, "Zero", "One", "Two", "Three", "Four", "Five", "Six", "Seven", "Eight", "Nine", "Ten", "Eleven", "Twelve", "Thirteen", "Fourteen", "Fifteen") &amp; " landscape assets remain in the content pipeline. Portrait video production is reported separately in the Monthly Social Media Report."</f>
        <v>September performance covers 4 published YouTube videos from a June production batch of 13 landscape video assets. Four landscape assets remain in the content pipeline. Portrait video production is reported separately in the Monthly Social Media Report.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39">
    <mergeCell ref="A1:L2"/>
    <mergeCell ref="A4:B4"/>
    <mergeCell ref="C4:D4"/>
    <mergeCell ref="E4:F4"/>
    <mergeCell ref="G4:H4"/>
    <mergeCell ref="I4:J4"/>
    <mergeCell ref="K4:L4"/>
    <mergeCell ref="A5:B6"/>
    <mergeCell ref="C5:D6"/>
    <mergeCell ref="E5:F6"/>
    <mergeCell ref="G5:H6"/>
    <mergeCell ref="I5:J6"/>
    <mergeCell ref="K5:L6"/>
    <mergeCell ref="A9:J9"/>
    <mergeCell ref="A10:F12"/>
    <mergeCell ref="G10:H10"/>
    <mergeCell ref="I10:J10"/>
    <mergeCell ref="K10:L10"/>
    <mergeCell ref="G11:H12"/>
    <mergeCell ref="I11:J12"/>
    <mergeCell ref="K11:L12"/>
    <mergeCell ref="G21:H21"/>
    <mergeCell ref="I21:J21"/>
    <mergeCell ref="A15:L15"/>
    <mergeCell ref="A16:K16"/>
    <mergeCell ref="A17:K17"/>
    <mergeCell ref="A18:K18"/>
    <mergeCell ref="C21:D21"/>
    <mergeCell ref="E21:F21"/>
    <mergeCell ref="K21:L21"/>
    <mergeCell ref="A25:L25"/>
    <mergeCell ref="A47:L47"/>
    <mergeCell ref="A21:B21"/>
    <mergeCell ref="A22:B22"/>
    <mergeCell ref="C22:D22"/>
    <mergeCell ref="E22:F22"/>
    <mergeCell ref="G22:H22"/>
    <mergeCell ref="I22:J22"/>
    <mergeCell ref="K22:L22"/>
  </mergeCells>
  <printOptions/>
  <pageMargins bottom="0.75" footer="0.0" header="0.0" left="0.7" right="0.7" top="0.75"/>
  <pageSetup paperSize="9" orientation="landscape"/>
  <rowBreaks count="2" manualBreakCount="2">
    <brk man="1"/>
    <brk id="23" man="1"/>
  </rowBreaks>
  <colBreaks count="2" manualBreakCount="2">
    <brk man="1"/>
    <brk id="12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6.0"/>
    <col customWidth="1" min="2" max="2" width="13.0"/>
    <col customWidth="1" min="3" max="3" width="43.25"/>
    <col customWidth="1" min="4" max="4" width="20.63"/>
    <col customWidth="1" min="5" max="5" width="19.13"/>
    <col customWidth="1" min="6" max="6" width="6.13"/>
    <col customWidth="1" min="7" max="7" width="13.88"/>
    <col customWidth="1" min="8" max="8" width="14.13"/>
    <col customWidth="1" min="9" max="9" width="15.13"/>
    <col customWidth="1" min="10" max="10" width="11.0"/>
    <col customWidth="1" min="11" max="11" width="8.5"/>
    <col customWidth="1" min="12" max="12" width="11.88"/>
    <col customWidth="1" min="13" max="13" width="12.38"/>
  </cols>
  <sheetData>
    <row r="1">
      <c r="A1" s="1" t="s">
        <v>2</v>
      </c>
    </row>
    <row r="3" ht="24.0" customHeight="1">
      <c r="A3" s="13" t="str">
        <f>"Detailed performance by video · " &amp; Ref!I2 &amp; " " &amp; Ref!J2</f>
        <v>Detailed performance by video · September 2026</v>
      </c>
    </row>
    <row r="4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</row>
    <row r="5" ht="33.0" customHeight="1">
      <c r="A5" s="17" t="s">
        <v>34</v>
      </c>
      <c r="B5" s="17" t="s">
        <v>35</v>
      </c>
      <c r="C5" s="18" t="s">
        <v>36</v>
      </c>
      <c r="D5" s="18" t="s">
        <v>37</v>
      </c>
      <c r="E5" s="18" t="s">
        <v>38</v>
      </c>
      <c r="F5" s="20" t="s">
        <v>8</v>
      </c>
      <c r="G5" s="20" t="s">
        <v>12</v>
      </c>
      <c r="H5" s="20" t="s">
        <v>40</v>
      </c>
      <c r="I5" s="20" t="s">
        <v>41</v>
      </c>
      <c r="J5" s="20" t="s">
        <v>24</v>
      </c>
      <c r="K5" s="20" t="s">
        <v>27</v>
      </c>
      <c r="L5" s="20" t="s">
        <v>42</v>
      </c>
      <c r="M5" s="20" t="s">
        <v>44</v>
      </c>
    </row>
    <row r="6" ht="37.5" customHeight="1">
      <c r="A6" s="23">
        <f t="array" ref="A6:A9">SEQUENCE(4,1)</f>
        <v>1</v>
      </c>
      <c r="B6" s="24">
        <v>46274.0</v>
      </c>
      <c r="C6" s="25" t="s">
        <v>47</v>
      </c>
      <c r="D6" s="26" t="s">
        <v>48</v>
      </c>
      <c r="E6" s="30" t="s">
        <v>50</v>
      </c>
      <c r="F6" s="31">
        <v>350.0</v>
      </c>
      <c r="G6" s="31">
        <v>180.0</v>
      </c>
      <c r="H6" s="32">
        <v>8.1457</v>
      </c>
      <c r="I6" s="34">
        <v>0.0014814814814814814</v>
      </c>
      <c r="J6" s="31">
        <v>2874.0</v>
      </c>
      <c r="K6" s="35">
        <v>0.0578</v>
      </c>
      <c r="L6" s="36">
        <v>1.0</v>
      </c>
      <c r="M6" s="38">
        <f t="shared" ref="M6:M9" si="1">F6/SUM($F$6:$F$9)</f>
        <v>0.4781420765</v>
      </c>
    </row>
    <row r="7" ht="37.5" customHeight="1">
      <c r="A7" s="23">
        <v>2.0</v>
      </c>
      <c r="B7" s="24">
        <v>46276.0</v>
      </c>
      <c r="C7" s="39" t="s">
        <v>52</v>
      </c>
      <c r="D7" s="41" t="s">
        <v>48</v>
      </c>
      <c r="E7" s="30" t="s">
        <v>54</v>
      </c>
      <c r="F7" s="31">
        <v>190.0</v>
      </c>
      <c r="G7" s="31">
        <v>66.0</v>
      </c>
      <c r="H7" s="32">
        <v>2.7188</v>
      </c>
      <c r="I7" s="34">
        <v>0.0010300925925925926</v>
      </c>
      <c r="J7" s="31">
        <v>755.0</v>
      </c>
      <c r="K7" s="35">
        <v>0.0821</v>
      </c>
      <c r="L7" s="36">
        <v>4.0</v>
      </c>
      <c r="M7" s="38">
        <f t="shared" si="1"/>
        <v>0.2595628415</v>
      </c>
    </row>
    <row r="8" ht="37.5" customHeight="1">
      <c r="A8" s="40">
        <v>3.0</v>
      </c>
      <c r="B8" s="24">
        <v>46287.0</v>
      </c>
      <c r="C8" s="42" t="s">
        <v>55</v>
      </c>
      <c r="D8" s="41" t="s">
        <v>48</v>
      </c>
      <c r="E8" s="30" t="s">
        <v>56</v>
      </c>
      <c r="F8" s="43">
        <v>143.0</v>
      </c>
      <c r="G8" s="43">
        <v>24.0</v>
      </c>
      <c r="H8" s="32">
        <v>0.8022</v>
      </c>
      <c r="I8" s="44">
        <v>5.671296296296297E-4</v>
      </c>
      <c r="J8" s="43">
        <v>2045.0</v>
      </c>
      <c r="K8" s="45">
        <v>0.0142</v>
      </c>
      <c r="L8" s="46">
        <v>0.0</v>
      </c>
      <c r="M8" s="47">
        <f t="shared" si="1"/>
        <v>0.1953551913</v>
      </c>
    </row>
    <row r="9" ht="37.5" customHeight="1">
      <c r="A9" s="40">
        <v>4.0</v>
      </c>
      <c r="B9" s="24">
        <v>46290.0</v>
      </c>
      <c r="C9" s="42" t="s">
        <v>59</v>
      </c>
      <c r="D9" s="41" t="s">
        <v>48</v>
      </c>
      <c r="E9" s="30" t="s">
        <v>60</v>
      </c>
      <c r="F9" s="43">
        <v>49.0</v>
      </c>
      <c r="G9" s="43">
        <v>14.0</v>
      </c>
      <c r="H9" s="32">
        <v>0.4873</v>
      </c>
      <c r="I9" s="44">
        <v>8.217592592592593E-4</v>
      </c>
      <c r="J9" s="43">
        <v>529.0</v>
      </c>
      <c r="K9" s="45">
        <v>0.034</v>
      </c>
      <c r="L9" s="46">
        <v>0.0</v>
      </c>
      <c r="M9" s="47">
        <f t="shared" si="1"/>
        <v>0.06693989071</v>
      </c>
    </row>
    <row r="10" ht="37.5" customHeight="1">
      <c r="A10" s="40"/>
      <c r="B10" s="51"/>
      <c r="C10" s="52"/>
      <c r="D10" s="53"/>
      <c r="E10" s="53"/>
      <c r="F10" s="54"/>
      <c r="G10" s="54"/>
      <c r="H10" s="55"/>
      <c r="I10" s="56"/>
      <c r="J10" s="54"/>
      <c r="K10" s="57"/>
      <c r="L10" s="58"/>
      <c r="M10" s="47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</row>
    <row r="1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</row>
    <row r="13" ht="22.5" customHeight="1">
      <c r="A13" s="15" t="s">
        <v>63</v>
      </c>
    </row>
    <row r="14">
      <c r="A14" s="59" t="s">
        <v>64</v>
      </c>
      <c r="C14" s="60" t="str">
        <f t="array" ref="C14">INDEX($C$6:$C$10,MATCH(MAX($F$6:$F$10),$F$6:$F$10,0))</f>
        <v>Caffino Srikandi Merdeka Cup 2026 (Recap)</v>
      </c>
      <c r="M14" s="61">
        <f>MAX($F$6:$F$10)</f>
        <v>350</v>
      </c>
    </row>
    <row r="15">
      <c r="A15" s="59" t="s">
        <v>66</v>
      </c>
      <c r="C15" s="60" t="str">
        <f t="array" ref="C15">INDEX($C$6:$C$10,MATCH(MAX($K$6:$K$10),$K$6:$K$10,0))</f>
        <v>Sapphire Boutique Hotel | Esthetic Staycation di Kudus</v>
      </c>
      <c r="M15" s="62">
        <f>MAX($K$6:$K$10)</f>
        <v>0.0821</v>
      </c>
    </row>
    <row r="16">
      <c r="A16" s="59" t="s">
        <v>67</v>
      </c>
      <c r="C16" s="60" t="str">
        <f t="array" ref="C16">INDEX($C$6:$C$10,MATCH(MAX($L$6:$L$10),$L$6:$L$10,0))</f>
        <v>Sapphire Boutique Hotel | Esthetic Staycation di Kudus</v>
      </c>
      <c r="M16" s="65">
        <f>MAX($L$6:$L$10)</f>
        <v>4</v>
      </c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16:B16"/>
    <mergeCell ref="C16:L16"/>
    <mergeCell ref="A1:M2"/>
    <mergeCell ref="A3:M3"/>
    <mergeCell ref="A13:M13"/>
    <mergeCell ref="A14:B14"/>
    <mergeCell ref="C14:L14"/>
    <mergeCell ref="A15:B15"/>
    <mergeCell ref="C15:L15"/>
  </mergeCells>
  <conditionalFormatting sqref="C6:C10">
    <cfRule type="expression" dxfId="0" priority="1">
      <formula>$F6=MAX($F$6:$F$10)</formula>
    </cfRule>
  </conditionalFormatting>
  <conditionalFormatting sqref="A6:M10">
    <cfRule type="expression" dxfId="1" priority="2">
      <formula>$F6=MAX($F$6:$F1000)</formula>
    </cfRule>
  </conditionalFormatting>
  <dataValidations>
    <dataValidation type="list" allowBlank="1" showErrorMessage="1" sqref="E6:E9">
      <formula1>Ref!$F$2:$F$11</formula1>
    </dataValidation>
  </dataValidations>
  <printOptions/>
  <pageMargins bottom="0.75" footer="0.0" header="0.0" left="0.7" right="0.7" top="0.75"/>
  <pageSetup fitToHeight="0"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6.38"/>
    <col customWidth="1" min="2" max="2" width="11.38"/>
    <col customWidth="1" min="3" max="4" width="41.38"/>
    <col customWidth="1" min="5" max="5" width="22.0"/>
    <col customWidth="1" min="6" max="6" width="15.38"/>
    <col customWidth="1" min="7" max="7" width="12.0"/>
    <col customWidth="1" min="8" max="25" width="8.63"/>
  </cols>
  <sheetData>
    <row r="1">
      <c r="A1" s="2" t="s">
        <v>1</v>
      </c>
    </row>
    <row r="3" ht="22.5" customHeight="1">
      <c r="A3" s="3" t="s">
        <v>4</v>
      </c>
      <c r="B3" s="4"/>
      <c r="C3" s="4"/>
      <c r="D3" s="4"/>
      <c r="E3" s="4"/>
      <c r="F3" s="4"/>
      <c r="G3" s="6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>
      <c r="A4" s="8"/>
      <c r="B4" s="8"/>
      <c r="C4" s="8"/>
      <c r="D4" s="8"/>
      <c r="E4" s="8"/>
      <c r="F4" s="8"/>
      <c r="G4" s="8"/>
    </row>
    <row r="5">
      <c r="A5" s="11" t="s">
        <v>11</v>
      </c>
      <c r="C5" s="11" t="s">
        <v>17</v>
      </c>
      <c r="D5" s="11" t="s">
        <v>19</v>
      </c>
      <c r="F5" s="12" t="s">
        <v>22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>
      <c r="A6" s="14">
        <f>COUNTA(G9:G18)</f>
        <v>4</v>
      </c>
      <c r="C6" s="16">
        <v>4.0</v>
      </c>
      <c r="D6" s="19">
        <f>A6/C6</f>
        <v>1</v>
      </c>
      <c r="F6" s="22">
        <v>0.0</v>
      </c>
    </row>
    <row r="7">
      <c r="A7" s="8"/>
      <c r="B7" s="8"/>
      <c r="C7" s="8"/>
      <c r="D7" s="8"/>
      <c r="E7" s="8"/>
      <c r="F7" s="8"/>
      <c r="G7" s="8"/>
    </row>
    <row r="8" ht="33.0" customHeight="1">
      <c r="A8" s="17" t="s">
        <v>34</v>
      </c>
      <c r="B8" s="17" t="s">
        <v>35</v>
      </c>
      <c r="C8" s="17" t="s">
        <v>36</v>
      </c>
      <c r="D8" s="17"/>
      <c r="E8" s="17" t="s">
        <v>45</v>
      </c>
      <c r="F8" s="17" t="s">
        <v>38</v>
      </c>
      <c r="G8" s="17" t="s">
        <v>46</v>
      </c>
    </row>
    <row r="9" ht="33.0" customHeight="1">
      <c r="A9" s="27">
        <f>'02 Video Performance'!A6</f>
        <v>1</v>
      </c>
      <c r="B9" s="28">
        <f>'02 Video Performance'!B6</f>
        <v>46274</v>
      </c>
      <c r="C9" s="29" t="str">
        <f>'02 Video Performance'!C6</f>
        <v>Caffino Srikandi Merdeka Cup 2026 (Recap)</v>
      </c>
      <c r="D9" s="33" t="s">
        <v>49</v>
      </c>
      <c r="E9" s="37" t="s">
        <v>51</v>
      </c>
      <c r="F9" s="37" t="s">
        <v>50</v>
      </c>
      <c r="G9" s="40" t="s">
        <v>53</v>
      </c>
    </row>
    <row r="10" ht="33.0" customHeight="1">
      <c r="A10" s="27">
        <f>'02 Video Performance'!A7</f>
        <v>2</v>
      </c>
      <c r="B10" s="28">
        <f>'02 Video Performance'!B7</f>
        <v>46276</v>
      </c>
      <c r="C10" s="29" t="str">
        <f>'02 Video Performance'!C7</f>
        <v>Sapphire Boutique Hotel | Esthetic Staycation di Kudus</v>
      </c>
      <c r="D10" s="49" t="s">
        <v>57</v>
      </c>
      <c r="E10" s="37" t="s">
        <v>61</v>
      </c>
      <c r="F10" s="37" t="s">
        <v>54</v>
      </c>
      <c r="G10" s="40" t="s">
        <v>53</v>
      </c>
    </row>
    <row r="11" ht="33.0" customHeight="1">
      <c r="A11" s="27">
        <f>'02 Video Performance'!A8</f>
        <v>3</v>
      </c>
      <c r="B11" s="28">
        <f>'02 Video Performance'!B8</f>
        <v>46287</v>
      </c>
      <c r="C11" s="29" t="str">
        <f>'02 Video Performance'!C8</f>
        <v>Muhammad Daffa Nugraha | Perjalanan Bersama PB Sahabat</v>
      </c>
      <c r="D11" s="49" t="s">
        <v>62</v>
      </c>
      <c r="E11" s="37" t="s">
        <v>61</v>
      </c>
      <c r="F11" s="37" t="s">
        <v>56</v>
      </c>
      <c r="G11" s="37" t="s">
        <v>53</v>
      </c>
    </row>
    <row r="12" ht="33.0" customHeight="1">
      <c r="A12" s="27">
        <f>'02 Video Performance'!A9</f>
        <v>4</v>
      </c>
      <c r="B12" s="28">
        <f>'02 Video Performance'!B9</f>
        <v>46290</v>
      </c>
      <c r="C12" s="29" t="str">
        <f>'02 Video Performance'!C9</f>
        <v>MARKASS Sport Center, Beragam Arena Olahraga di Satu Lokasi</v>
      </c>
      <c r="D12" s="49" t="s">
        <v>65</v>
      </c>
      <c r="E12" s="37" t="s">
        <v>61</v>
      </c>
      <c r="F12" s="37" t="s">
        <v>60</v>
      </c>
      <c r="G12" s="37" t="s">
        <v>53</v>
      </c>
    </row>
    <row r="13" ht="33.0" customHeight="1">
      <c r="A13" s="40"/>
      <c r="B13" s="51"/>
      <c r="C13" s="52"/>
      <c r="D13" s="63"/>
      <c r="E13" s="40"/>
      <c r="F13" s="40"/>
      <c r="G13" s="40"/>
    </row>
    <row r="14">
      <c r="A14" s="8"/>
      <c r="B14" s="8"/>
      <c r="C14" s="8"/>
      <c r="D14" s="8"/>
      <c r="E14" s="8"/>
      <c r="F14" s="8"/>
      <c r="G14" s="8"/>
    </row>
    <row r="15">
      <c r="A15" s="8"/>
      <c r="B15" s="8"/>
      <c r="C15" s="8"/>
      <c r="D15" s="8"/>
      <c r="E15" s="8"/>
      <c r="F15" s="8"/>
      <c r="G15" s="8"/>
    </row>
    <row r="16">
      <c r="A16" s="8"/>
      <c r="B16" s="8"/>
      <c r="C16" s="8"/>
      <c r="D16" s="8"/>
      <c r="E16" s="8"/>
      <c r="F16" s="8"/>
      <c r="G16" s="8"/>
    </row>
    <row r="17">
      <c r="E17" s="64"/>
      <c r="F17" s="64"/>
      <c r="G17" s="64"/>
    </row>
    <row r="18">
      <c r="E18" s="64"/>
      <c r="F18" s="64"/>
      <c r="G18" s="64"/>
    </row>
    <row r="19" ht="15.75" customHeight="1">
      <c r="E19" s="64"/>
      <c r="F19" s="64"/>
      <c r="G19" s="64"/>
    </row>
    <row r="20" ht="15.75" customHeight="1">
      <c r="E20" s="64"/>
      <c r="F20" s="64"/>
      <c r="G20" s="64"/>
    </row>
    <row r="21" ht="15.75" customHeight="1">
      <c r="E21" s="64"/>
      <c r="F21" s="64"/>
      <c r="G21" s="64"/>
    </row>
    <row r="22" ht="15.75" customHeight="1">
      <c r="E22" s="64"/>
      <c r="F22" s="64"/>
      <c r="G22" s="64"/>
    </row>
    <row r="23" ht="15.75" customHeight="1">
      <c r="E23" s="64"/>
      <c r="F23" s="64"/>
      <c r="G23" s="64"/>
    </row>
    <row r="24" ht="15.75" customHeight="1">
      <c r="E24" s="64"/>
      <c r="F24" s="64"/>
      <c r="G24" s="64"/>
    </row>
    <row r="25" ht="15.75" customHeight="1">
      <c r="E25" s="64"/>
      <c r="F25" s="64"/>
      <c r="G25" s="64"/>
    </row>
    <row r="26" ht="15.75" customHeight="1">
      <c r="E26" s="64"/>
      <c r="F26" s="64"/>
      <c r="G26" s="64"/>
    </row>
    <row r="27" ht="15.75" customHeight="1">
      <c r="E27" s="64"/>
      <c r="F27" s="64"/>
      <c r="G27" s="64"/>
    </row>
    <row r="28" ht="15.75" customHeight="1">
      <c r="E28" s="64"/>
      <c r="F28" s="64"/>
      <c r="G28" s="64"/>
    </row>
    <row r="29" ht="15.75" customHeight="1">
      <c r="E29" s="64"/>
      <c r="F29" s="64"/>
      <c r="G29" s="64"/>
    </row>
    <row r="30" ht="15.75" customHeight="1">
      <c r="E30" s="64"/>
      <c r="F30" s="64"/>
      <c r="G30" s="64"/>
    </row>
    <row r="31" ht="15.75" customHeight="1">
      <c r="E31" s="64"/>
      <c r="F31" s="64"/>
      <c r="G31" s="64"/>
    </row>
    <row r="32" ht="15.75" customHeight="1">
      <c r="E32" s="64"/>
      <c r="F32" s="64"/>
      <c r="G32" s="64"/>
    </row>
    <row r="33" ht="15.75" customHeight="1">
      <c r="E33" s="64"/>
      <c r="F33" s="64"/>
      <c r="G33" s="64"/>
    </row>
    <row r="34" ht="15.75" customHeight="1">
      <c r="E34" s="64"/>
      <c r="F34" s="64"/>
      <c r="G34" s="64"/>
    </row>
    <row r="35" ht="15.75" customHeight="1">
      <c r="E35" s="64"/>
      <c r="F35" s="64"/>
      <c r="G35" s="64"/>
    </row>
    <row r="36" ht="15.75" customHeight="1">
      <c r="E36" s="64"/>
      <c r="F36" s="64"/>
      <c r="G36" s="64"/>
    </row>
    <row r="37" ht="15.75" customHeight="1">
      <c r="E37" s="64"/>
      <c r="F37" s="64"/>
      <c r="G37" s="64"/>
    </row>
    <row r="38" ht="15.75" customHeight="1">
      <c r="E38" s="64"/>
      <c r="F38" s="64"/>
      <c r="G38" s="64"/>
    </row>
    <row r="39" ht="15.75" customHeight="1">
      <c r="E39" s="64"/>
      <c r="F39" s="64"/>
      <c r="G39" s="64"/>
    </row>
    <row r="40" ht="15.75" customHeight="1">
      <c r="E40" s="64"/>
      <c r="F40" s="64"/>
      <c r="G40" s="64"/>
    </row>
    <row r="41" ht="15.75" customHeight="1">
      <c r="E41" s="64"/>
      <c r="F41" s="64"/>
      <c r="G41" s="64"/>
    </row>
    <row r="42" ht="15.75" customHeight="1">
      <c r="E42" s="64"/>
      <c r="F42" s="64"/>
      <c r="G42" s="64"/>
    </row>
    <row r="43" ht="15.75" customHeight="1">
      <c r="E43" s="64"/>
      <c r="F43" s="64"/>
      <c r="G43" s="64"/>
    </row>
    <row r="44" ht="15.75" customHeight="1">
      <c r="E44" s="64"/>
      <c r="F44" s="64"/>
      <c r="G44" s="64"/>
    </row>
    <row r="45" ht="15.75" customHeight="1">
      <c r="E45" s="64"/>
      <c r="F45" s="64"/>
      <c r="G45" s="64"/>
    </row>
    <row r="46" ht="15.75" customHeight="1">
      <c r="E46" s="64"/>
      <c r="F46" s="64"/>
      <c r="G46" s="64"/>
    </row>
    <row r="47" ht="15.75" customHeight="1">
      <c r="E47" s="64"/>
      <c r="F47" s="64"/>
      <c r="G47" s="64"/>
    </row>
    <row r="48" ht="15.75" customHeight="1">
      <c r="E48" s="64"/>
      <c r="F48" s="64"/>
      <c r="G48" s="64"/>
    </row>
    <row r="49" ht="15.75" customHeight="1">
      <c r="E49" s="64"/>
      <c r="F49" s="64"/>
      <c r="G49" s="64"/>
    </row>
    <row r="50" ht="15.75" customHeight="1">
      <c r="E50" s="64"/>
      <c r="F50" s="64"/>
      <c r="G50" s="64"/>
    </row>
    <row r="51" ht="15.75" customHeight="1">
      <c r="E51" s="64"/>
      <c r="F51" s="64"/>
      <c r="G51" s="64"/>
    </row>
    <row r="52" ht="15.75" customHeight="1">
      <c r="E52" s="64"/>
      <c r="F52" s="64"/>
      <c r="G52" s="64"/>
    </row>
    <row r="53" ht="15.75" customHeight="1">
      <c r="E53" s="64"/>
      <c r="F53" s="64"/>
      <c r="G53" s="64"/>
    </row>
    <row r="54" ht="15.75" customHeight="1">
      <c r="E54" s="64"/>
      <c r="F54" s="64"/>
      <c r="G54" s="64"/>
    </row>
    <row r="55" ht="15.75" customHeight="1">
      <c r="E55" s="64"/>
      <c r="F55" s="64"/>
      <c r="G55" s="64"/>
    </row>
    <row r="56" ht="15.75" customHeight="1">
      <c r="E56" s="64"/>
      <c r="F56" s="64"/>
      <c r="G56" s="64"/>
    </row>
    <row r="57" ht="15.75" customHeight="1">
      <c r="E57" s="64"/>
      <c r="F57" s="64"/>
      <c r="G57" s="64"/>
    </row>
    <row r="58" ht="15.75" customHeight="1">
      <c r="E58" s="64"/>
      <c r="F58" s="64"/>
      <c r="G58" s="64"/>
    </row>
    <row r="59" ht="15.75" customHeight="1">
      <c r="E59" s="64"/>
      <c r="F59" s="64"/>
      <c r="G59" s="64"/>
    </row>
    <row r="60" ht="15.75" customHeight="1">
      <c r="E60" s="64"/>
      <c r="F60" s="64"/>
      <c r="G60" s="64"/>
    </row>
    <row r="61" ht="15.75" customHeight="1">
      <c r="E61" s="64"/>
      <c r="F61" s="64"/>
      <c r="G61" s="64"/>
    </row>
    <row r="62" ht="15.75" customHeight="1">
      <c r="E62" s="64"/>
      <c r="F62" s="64"/>
      <c r="G62" s="64"/>
    </row>
    <row r="63" ht="15.75" customHeight="1">
      <c r="E63" s="64"/>
      <c r="F63" s="64"/>
      <c r="G63" s="64"/>
    </row>
    <row r="64" ht="15.75" customHeight="1">
      <c r="E64" s="64"/>
      <c r="F64" s="64"/>
      <c r="G64" s="64"/>
    </row>
    <row r="65" ht="15.75" customHeight="1">
      <c r="E65" s="64"/>
      <c r="F65" s="64"/>
      <c r="G65" s="64"/>
    </row>
    <row r="66" ht="15.75" customHeight="1">
      <c r="E66" s="64"/>
      <c r="F66" s="64"/>
      <c r="G66" s="64"/>
    </row>
    <row r="67" ht="15.75" customHeight="1">
      <c r="E67" s="64"/>
      <c r="F67" s="64"/>
      <c r="G67" s="64"/>
    </row>
    <row r="68" ht="15.75" customHeight="1">
      <c r="E68" s="64"/>
      <c r="F68" s="64"/>
      <c r="G68" s="64"/>
    </row>
    <row r="69" ht="15.75" customHeight="1">
      <c r="E69" s="64"/>
      <c r="F69" s="64"/>
      <c r="G69" s="64"/>
    </row>
    <row r="70" ht="15.75" customHeight="1">
      <c r="E70" s="64"/>
      <c r="F70" s="64"/>
      <c r="G70" s="64"/>
    </row>
    <row r="71" ht="15.75" customHeight="1">
      <c r="E71" s="64"/>
      <c r="F71" s="64"/>
      <c r="G71" s="64"/>
    </row>
    <row r="72" ht="15.75" customHeight="1">
      <c r="E72" s="64"/>
      <c r="F72" s="64"/>
      <c r="G72" s="64"/>
    </row>
    <row r="73" ht="15.75" customHeight="1">
      <c r="E73" s="64"/>
      <c r="F73" s="64"/>
      <c r="G73" s="64"/>
    </row>
    <row r="74" ht="15.75" customHeight="1">
      <c r="E74" s="64"/>
      <c r="F74" s="64"/>
      <c r="G74" s="64"/>
    </row>
    <row r="75" ht="15.75" customHeight="1">
      <c r="E75" s="64"/>
      <c r="F75" s="64"/>
      <c r="G75" s="64"/>
    </row>
    <row r="76" ht="15.75" customHeight="1">
      <c r="E76" s="64"/>
      <c r="F76" s="64"/>
      <c r="G76" s="64"/>
    </row>
    <row r="77" ht="15.75" customHeight="1">
      <c r="E77" s="64"/>
      <c r="F77" s="64"/>
      <c r="G77" s="64"/>
    </row>
    <row r="78" ht="15.75" customHeight="1">
      <c r="E78" s="64"/>
      <c r="F78" s="64"/>
      <c r="G78" s="64"/>
    </row>
    <row r="79" ht="15.75" customHeight="1">
      <c r="E79" s="64"/>
      <c r="F79" s="64"/>
      <c r="G79" s="64"/>
    </row>
    <row r="80" ht="15.75" customHeight="1">
      <c r="E80" s="64"/>
      <c r="F80" s="64"/>
      <c r="G80" s="64"/>
    </row>
    <row r="81" ht="15.75" customHeight="1">
      <c r="E81" s="64"/>
      <c r="F81" s="64"/>
      <c r="G81" s="64"/>
    </row>
    <row r="82" ht="15.75" customHeight="1">
      <c r="E82" s="64"/>
      <c r="F82" s="64"/>
      <c r="G82" s="64"/>
    </row>
    <row r="83" ht="15.75" customHeight="1">
      <c r="E83" s="64"/>
      <c r="F83" s="64"/>
      <c r="G83" s="64"/>
    </row>
    <row r="84" ht="15.75" customHeight="1">
      <c r="E84" s="64"/>
      <c r="F84" s="64"/>
      <c r="G84" s="64"/>
    </row>
    <row r="85" ht="15.75" customHeight="1">
      <c r="E85" s="64"/>
      <c r="F85" s="64"/>
      <c r="G85" s="64"/>
    </row>
    <row r="86" ht="15.75" customHeight="1">
      <c r="E86" s="64"/>
      <c r="F86" s="64"/>
      <c r="G86" s="64"/>
    </row>
    <row r="87" ht="15.75" customHeight="1">
      <c r="E87" s="64"/>
      <c r="F87" s="64"/>
      <c r="G87" s="64"/>
    </row>
    <row r="88" ht="15.75" customHeight="1">
      <c r="E88" s="64"/>
      <c r="F88" s="64"/>
      <c r="G88" s="64"/>
    </row>
    <row r="89" ht="15.75" customHeight="1">
      <c r="E89" s="64"/>
      <c r="F89" s="64"/>
      <c r="G89" s="64"/>
    </row>
    <row r="90" ht="15.75" customHeight="1">
      <c r="E90" s="64"/>
      <c r="F90" s="64"/>
      <c r="G90" s="64"/>
    </row>
    <row r="91" ht="15.75" customHeight="1">
      <c r="E91" s="64"/>
      <c r="F91" s="64"/>
      <c r="G91" s="64"/>
    </row>
    <row r="92" ht="15.75" customHeight="1">
      <c r="E92" s="64"/>
      <c r="F92" s="64"/>
      <c r="G92" s="64"/>
    </row>
    <row r="93" ht="15.75" customHeight="1">
      <c r="E93" s="64"/>
      <c r="F93" s="64"/>
      <c r="G93" s="64"/>
    </row>
    <row r="94" ht="15.75" customHeight="1">
      <c r="E94" s="64"/>
      <c r="F94" s="64"/>
      <c r="G94" s="64"/>
    </row>
    <row r="95" ht="15.75" customHeight="1">
      <c r="E95" s="64"/>
      <c r="F95" s="64"/>
      <c r="G95" s="64"/>
    </row>
    <row r="96" ht="15.75" customHeight="1">
      <c r="E96" s="64"/>
      <c r="F96" s="64"/>
      <c r="G96" s="64"/>
    </row>
    <row r="97" ht="15.75" customHeight="1">
      <c r="E97" s="64"/>
      <c r="F97" s="64"/>
      <c r="G97" s="64"/>
    </row>
    <row r="98" ht="15.75" customHeight="1">
      <c r="E98" s="64"/>
      <c r="F98" s="64"/>
      <c r="G98" s="64"/>
    </row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8">
    <mergeCell ref="A1:G2"/>
    <mergeCell ref="A3:G3"/>
    <mergeCell ref="A5:B5"/>
    <mergeCell ref="D5:E5"/>
    <mergeCell ref="F5:G5"/>
    <mergeCell ref="A6:B6"/>
    <mergeCell ref="D6:E6"/>
    <mergeCell ref="F6:G6"/>
  </mergeCells>
  <dataValidations>
    <dataValidation type="list" allowBlank="1" sqref="E9:E98">
      <formula1>Ref!$A$2:$A$8</formula1>
    </dataValidation>
    <dataValidation type="list" allowBlank="1" sqref="F9:F98">
      <formula1>Ref!$F$2:$F$11</formula1>
    </dataValidation>
    <dataValidation type="list" allowBlank="1" sqref="G9:G98">
      <formula1>Ref!$D$2:$D$8</formula1>
    </dataValidation>
  </dataValidations>
  <hyperlinks>
    <hyperlink r:id="rId1" ref="D9"/>
    <hyperlink r:id="rId2" ref="D10"/>
    <hyperlink r:id="rId3" ref="D11"/>
    <hyperlink r:id="rId4" ref="D12"/>
  </hyperlinks>
  <printOptions/>
  <pageMargins bottom="0.75" footer="0.0" header="0.0" left="0.7" right="0.7" top="0.75"/>
  <pageSetup fitToHeight="0" paperSize="9" orientation="landscape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22.0"/>
    <col customWidth="1" min="2" max="2" width="40.0"/>
    <col customWidth="1" min="3" max="3" width="42.0"/>
    <col customWidth="1" min="4" max="26" width="8.63"/>
  </cols>
  <sheetData>
    <row r="1">
      <c r="A1" s="1" t="s">
        <v>0</v>
      </c>
    </row>
    <row r="3">
      <c r="A3" s="5" t="s">
        <v>3</v>
      </c>
    </row>
    <row r="4">
      <c r="A4" s="8"/>
      <c r="B4" s="8"/>
      <c r="C4" s="8"/>
    </row>
    <row r="5" ht="33.0" customHeight="1">
      <c r="A5" s="9" t="s">
        <v>5</v>
      </c>
      <c r="B5" s="9" t="s">
        <v>6</v>
      </c>
      <c r="C5" s="9" t="s">
        <v>7</v>
      </c>
    </row>
    <row r="6" ht="37.5" customHeight="1">
      <c r="A6" s="10" t="s">
        <v>8</v>
      </c>
      <c r="B6" s="10" t="s">
        <v>9</v>
      </c>
      <c r="C6" s="10" t="s">
        <v>10</v>
      </c>
    </row>
    <row r="7" ht="37.5" customHeight="1">
      <c r="A7" s="10" t="s">
        <v>12</v>
      </c>
      <c r="B7" s="10" t="s">
        <v>13</v>
      </c>
      <c r="C7" s="10" t="s">
        <v>14</v>
      </c>
    </row>
    <row r="8" ht="37.5" customHeight="1">
      <c r="A8" s="10" t="s">
        <v>15</v>
      </c>
      <c r="B8" s="10" t="s">
        <v>16</v>
      </c>
      <c r="C8" s="10" t="s">
        <v>18</v>
      </c>
    </row>
    <row r="9" ht="37.5" customHeight="1">
      <c r="A9" s="10" t="s">
        <v>20</v>
      </c>
      <c r="B9" s="10" t="s">
        <v>21</v>
      </c>
      <c r="C9" s="10" t="s">
        <v>23</v>
      </c>
    </row>
    <row r="10" ht="37.5" customHeight="1">
      <c r="A10" s="10" t="s">
        <v>24</v>
      </c>
      <c r="B10" s="10" t="s">
        <v>25</v>
      </c>
      <c r="C10" s="10" t="s">
        <v>26</v>
      </c>
    </row>
    <row r="11" ht="37.5" customHeight="1">
      <c r="A11" s="10" t="s">
        <v>27</v>
      </c>
      <c r="B11" s="10" t="s">
        <v>28</v>
      </c>
      <c r="C11" s="10" t="s">
        <v>29</v>
      </c>
    </row>
    <row r="12" ht="37.5" customHeight="1">
      <c r="A12" s="10" t="s">
        <v>30</v>
      </c>
      <c r="B12" s="10" t="s">
        <v>31</v>
      </c>
      <c r="C12" s="10" t="s">
        <v>32</v>
      </c>
    </row>
    <row r="13">
      <c r="A13" s="8"/>
      <c r="B13" s="8"/>
      <c r="C13" s="8"/>
    </row>
    <row r="14">
      <c r="A14" s="8"/>
      <c r="B14" s="8"/>
      <c r="C14" s="8"/>
    </row>
    <row r="15" ht="22.5" customHeight="1">
      <c r="A15" s="15" t="s">
        <v>33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30.0" customHeight="1">
      <c r="A16" s="21" t="s">
        <v>39</v>
      </c>
    </row>
    <row r="17" ht="30.0" customHeight="1">
      <c r="A17" s="21" t="s">
        <v>43</v>
      </c>
    </row>
    <row r="18" ht="15.0" customHeight="1">
      <c r="A18" s="21"/>
    </row>
  </sheetData>
  <mergeCells count="6">
    <mergeCell ref="A1:C2"/>
    <mergeCell ref="A3:C3"/>
    <mergeCell ref="A15:C15"/>
    <mergeCell ref="A16:C16"/>
    <mergeCell ref="A17:C17"/>
    <mergeCell ref="A18:C18"/>
  </mergeCells>
  <printOptions/>
  <pageMargins bottom="0.75" footer="0.0" header="0.0" left="0.7" right="0.7" top="0.75"/>
  <pageSetup fitToHeight="0"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22.0"/>
    <col customWidth="1" min="2" max="2" width="40.0"/>
    <col customWidth="1" min="3" max="3" width="42.0"/>
    <col customWidth="1" min="4" max="26" width="8.63"/>
  </cols>
  <sheetData>
    <row r="1">
      <c r="A1" s="48" t="s">
        <v>58</v>
      </c>
    </row>
    <row r="3">
      <c r="A3" s="50"/>
      <c r="B3" s="50"/>
      <c r="C3" s="50"/>
      <c r="D3" s="50"/>
      <c r="E3" s="50"/>
      <c r="F3" s="50"/>
    </row>
    <row r="4">
      <c r="A4" s="50"/>
      <c r="B4" s="50"/>
      <c r="C4" s="50"/>
      <c r="D4" s="50"/>
      <c r="E4" s="50"/>
      <c r="F4" s="50"/>
    </row>
    <row r="5">
      <c r="A5" s="50"/>
      <c r="B5" s="50"/>
      <c r="C5" s="50"/>
      <c r="D5" s="50"/>
      <c r="E5" s="50"/>
      <c r="F5" s="50"/>
    </row>
    <row r="6">
      <c r="A6" s="50"/>
      <c r="B6" s="50"/>
      <c r="C6" s="50"/>
      <c r="D6" s="50"/>
      <c r="E6" s="50"/>
      <c r="F6" s="50"/>
    </row>
    <row r="7" ht="27.75" customHeight="1">
      <c r="A7" s="50"/>
      <c r="B7" s="50"/>
      <c r="C7" s="50"/>
      <c r="D7" s="50"/>
      <c r="E7" s="50"/>
      <c r="F7" s="50"/>
    </row>
    <row r="8" ht="37.5" customHeight="1">
      <c r="A8" s="50"/>
      <c r="B8" s="50"/>
      <c r="C8" s="50"/>
      <c r="D8" s="50"/>
      <c r="E8" s="50"/>
      <c r="F8" s="50"/>
    </row>
    <row r="9" ht="37.5" customHeight="1">
      <c r="A9" s="50"/>
      <c r="B9" s="50"/>
      <c r="C9" s="50"/>
      <c r="D9" s="50"/>
      <c r="E9" s="50"/>
      <c r="F9" s="50"/>
    </row>
    <row r="10" ht="37.5" customHeight="1">
      <c r="A10" s="50"/>
      <c r="B10" s="50"/>
      <c r="C10" s="50"/>
      <c r="D10" s="50"/>
      <c r="E10" s="50"/>
      <c r="F10" s="50"/>
    </row>
    <row r="11" ht="37.5" customHeight="1">
      <c r="A11" s="50"/>
      <c r="B11" s="50"/>
      <c r="C11" s="50"/>
      <c r="D11" s="50"/>
      <c r="E11" s="50"/>
      <c r="F11" s="50"/>
    </row>
    <row r="12" ht="37.5" customHeight="1">
      <c r="A12" s="50"/>
      <c r="B12" s="50"/>
      <c r="C12" s="50"/>
      <c r="D12" s="50"/>
      <c r="E12" s="50"/>
      <c r="F12" s="50"/>
    </row>
    <row r="13" ht="37.5" customHeight="1">
      <c r="A13" s="50"/>
      <c r="B13" s="50"/>
      <c r="C13" s="50"/>
      <c r="D13" s="50"/>
      <c r="E13" s="50"/>
      <c r="F13" s="50"/>
    </row>
    <row r="14" ht="37.5" customHeight="1">
      <c r="A14" s="50"/>
      <c r="B14" s="50"/>
      <c r="C14" s="50"/>
      <c r="D14" s="50"/>
      <c r="E14" s="50"/>
      <c r="F14" s="50"/>
    </row>
    <row r="15">
      <c r="A15" s="50"/>
      <c r="B15" s="50"/>
      <c r="C15" s="50"/>
      <c r="D15" s="50"/>
      <c r="E15" s="50"/>
      <c r="F15" s="50"/>
    </row>
    <row r="16">
      <c r="A16" s="50"/>
      <c r="B16" s="50"/>
      <c r="C16" s="50"/>
      <c r="D16" s="50"/>
      <c r="E16" s="50"/>
      <c r="F16" s="50"/>
    </row>
    <row r="17" ht="22.5" customHeight="1">
      <c r="A17" s="50"/>
      <c r="B17" s="50"/>
      <c r="C17" s="50"/>
      <c r="D17" s="50"/>
      <c r="E17" s="50"/>
      <c r="F17" s="50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30.0" customHeight="1">
      <c r="A18" s="21"/>
    </row>
    <row r="19" ht="30.0" customHeight="1">
      <c r="A19" s="21"/>
    </row>
    <row r="20" ht="15.0" customHeight="1">
      <c r="A20" s="21"/>
    </row>
  </sheetData>
  <mergeCells count="4">
    <mergeCell ref="A1:F2"/>
    <mergeCell ref="A18:C18"/>
    <mergeCell ref="A19:C19"/>
    <mergeCell ref="A20:C20"/>
  </mergeCells>
  <printOptions/>
  <pageMargins bottom="0.75" footer="0.0" header="0.0" left="0.7" right="0.7" top="0.75"/>
  <pageSetup fitToHeight="0"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22.0"/>
    <col customWidth="1" min="2" max="2" width="40.0"/>
    <col customWidth="1" min="3" max="3" width="42.0"/>
    <col customWidth="1" min="4" max="26" width="8.63"/>
  </cols>
  <sheetData>
    <row r="1">
      <c r="A1" s="48" t="s">
        <v>68</v>
      </c>
    </row>
    <row r="3">
      <c r="A3" s="50"/>
      <c r="B3" s="50"/>
      <c r="C3" s="50"/>
      <c r="D3" s="50"/>
      <c r="E3" s="50"/>
      <c r="F3" s="50"/>
    </row>
    <row r="4">
      <c r="A4" s="50"/>
      <c r="B4" s="50"/>
      <c r="C4" s="50"/>
      <c r="D4" s="50"/>
      <c r="E4" s="50"/>
      <c r="F4" s="50"/>
    </row>
    <row r="5">
      <c r="A5" s="50"/>
      <c r="B5" s="50"/>
      <c r="C5" s="50"/>
      <c r="D5" s="50"/>
      <c r="E5" s="50"/>
      <c r="F5" s="50"/>
    </row>
    <row r="6">
      <c r="A6" s="50"/>
      <c r="B6" s="50"/>
      <c r="C6" s="50"/>
      <c r="D6" s="50"/>
      <c r="E6" s="50"/>
      <c r="F6" s="50"/>
    </row>
    <row r="7" ht="27.75" customHeight="1">
      <c r="A7" s="50"/>
      <c r="B7" s="50"/>
      <c r="C7" s="50"/>
      <c r="D7" s="50"/>
      <c r="E7" s="50"/>
      <c r="F7" s="50"/>
    </row>
    <row r="8" ht="37.5" customHeight="1">
      <c r="A8" s="50"/>
      <c r="B8" s="50"/>
      <c r="C8" s="50"/>
      <c r="D8" s="50"/>
      <c r="E8" s="50"/>
      <c r="F8" s="50"/>
    </row>
    <row r="9" ht="37.5" customHeight="1">
      <c r="A9" s="50"/>
      <c r="B9" s="50"/>
      <c r="C9" s="50"/>
      <c r="D9" s="50"/>
      <c r="E9" s="50"/>
      <c r="F9" s="50"/>
    </row>
    <row r="10" ht="37.5" customHeight="1">
      <c r="A10" s="50"/>
      <c r="B10" s="50"/>
      <c r="C10" s="50"/>
      <c r="D10" s="50"/>
      <c r="E10" s="50"/>
      <c r="F10" s="50"/>
    </row>
    <row r="11" ht="37.5" customHeight="1">
      <c r="A11" s="50"/>
      <c r="B11" s="50"/>
      <c r="C11" s="50"/>
      <c r="D11" s="50"/>
      <c r="E11" s="50"/>
      <c r="F11" s="50"/>
    </row>
    <row r="12" ht="37.5" customHeight="1">
      <c r="A12" s="50"/>
      <c r="B12" s="50"/>
      <c r="C12" s="50"/>
      <c r="D12" s="50"/>
      <c r="E12" s="50"/>
      <c r="F12" s="50"/>
    </row>
    <row r="13" ht="37.5" customHeight="1">
      <c r="A13" s="50"/>
      <c r="B13" s="50"/>
      <c r="C13" s="50"/>
      <c r="D13" s="50"/>
      <c r="E13" s="50"/>
      <c r="F13" s="50"/>
    </row>
    <row r="14" ht="37.5" customHeight="1">
      <c r="A14" s="50"/>
      <c r="B14" s="50"/>
      <c r="C14" s="50"/>
      <c r="D14" s="50"/>
      <c r="E14" s="50"/>
      <c r="F14" s="50"/>
    </row>
    <row r="15">
      <c r="A15" s="50"/>
      <c r="B15" s="50"/>
      <c r="C15" s="50"/>
      <c r="D15" s="50"/>
      <c r="E15" s="50"/>
      <c r="F15" s="50"/>
    </row>
    <row r="16">
      <c r="A16" s="50"/>
      <c r="B16" s="50"/>
      <c r="C16" s="50"/>
      <c r="D16" s="50"/>
      <c r="E16" s="50"/>
      <c r="F16" s="50"/>
    </row>
    <row r="17" ht="22.5" customHeight="1">
      <c r="A17" s="50"/>
      <c r="B17" s="50"/>
      <c r="C17" s="50"/>
      <c r="D17" s="50"/>
      <c r="E17" s="50"/>
      <c r="F17" s="50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30.0" customHeight="1">
      <c r="A18" s="21"/>
    </row>
    <row r="19" ht="30.0" customHeight="1">
      <c r="A19" s="21"/>
    </row>
    <row r="20" ht="15.0" customHeight="1">
      <c r="A20" s="21"/>
    </row>
  </sheetData>
  <mergeCells count="4">
    <mergeCell ref="A1:F2"/>
    <mergeCell ref="A18:C18"/>
    <mergeCell ref="A19:C19"/>
    <mergeCell ref="A20:C20"/>
  </mergeCells>
  <printOptions/>
  <pageMargins bottom="0.75" footer="0.0" header="0.0" left="0.7" right="0.7" top="0.75"/>
  <pageSetup fitToHeight="0"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16.0"/>
    <col customWidth="1" min="3" max="3" width="20.0"/>
    <col customWidth="1" min="4" max="4" width="16.0"/>
    <col customWidth="1" min="5" max="5" width="20.0"/>
    <col customWidth="1" min="6" max="6" width="18.0"/>
    <col customWidth="1" min="7" max="8" width="16.0"/>
    <col customWidth="1" min="9" max="26" width="8.63"/>
  </cols>
  <sheetData>
    <row r="1" ht="21.75" customHeight="1">
      <c r="A1" s="75" t="s">
        <v>37</v>
      </c>
      <c r="B1" s="75" t="s">
        <v>76</v>
      </c>
      <c r="C1" s="75" t="s">
        <v>77</v>
      </c>
      <c r="D1" s="75" t="s">
        <v>46</v>
      </c>
      <c r="E1" s="75" t="s">
        <v>78</v>
      </c>
      <c r="F1" s="75" t="s">
        <v>79</v>
      </c>
      <c r="G1" s="75" t="s">
        <v>80</v>
      </c>
      <c r="H1" s="75" t="s">
        <v>81</v>
      </c>
      <c r="I1" s="77" t="s">
        <v>82</v>
      </c>
      <c r="J1" s="77" t="s">
        <v>83</v>
      </c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 ht="21.0" customHeight="1">
      <c r="A2" s="80" t="s">
        <v>61</v>
      </c>
      <c r="B2" s="82" t="s">
        <v>85</v>
      </c>
      <c r="C2" s="82" t="s">
        <v>87</v>
      </c>
      <c r="D2" s="82" t="s">
        <v>88</v>
      </c>
      <c r="E2" s="80" t="s">
        <v>89</v>
      </c>
      <c r="F2" s="83" t="s">
        <v>54</v>
      </c>
      <c r="G2" s="82" t="s">
        <v>90</v>
      </c>
      <c r="H2" s="82" t="s">
        <v>91</v>
      </c>
      <c r="I2" s="77" t="s">
        <v>92</v>
      </c>
      <c r="J2" s="77">
        <v>2026.0</v>
      </c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 ht="21.0" customHeight="1">
      <c r="A3" s="82" t="s">
        <v>51</v>
      </c>
      <c r="B3" s="82"/>
      <c r="C3" s="82" t="s">
        <v>85</v>
      </c>
      <c r="D3" s="82" t="s">
        <v>93</v>
      </c>
      <c r="E3" s="82" t="s">
        <v>94</v>
      </c>
      <c r="F3" s="83" t="s">
        <v>95</v>
      </c>
      <c r="G3" s="82"/>
      <c r="H3" s="82" t="s">
        <v>50</v>
      </c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 ht="21.0" customHeight="1">
      <c r="A4" s="82" t="s">
        <v>96</v>
      </c>
      <c r="B4" s="82"/>
      <c r="C4" s="82"/>
      <c r="D4" s="82" t="s">
        <v>97</v>
      </c>
      <c r="E4" s="82" t="s">
        <v>98</v>
      </c>
      <c r="F4" s="86" t="s">
        <v>99</v>
      </c>
      <c r="G4" s="82"/>
      <c r="H4" s="82" t="s">
        <v>100</v>
      </c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</row>
    <row r="5" ht="21.0" customHeight="1">
      <c r="A5" s="82"/>
      <c r="B5" s="82"/>
      <c r="C5" s="82"/>
      <c r="D5" s="82" t="s">
        <v>53</v>
      </c>
      <c r="E5" s="82"/>
      <c r="F5" s="83" t="s">
        <v>101</v>
      </c>
      <c r="G5" s="82"/>
      <c r="H5" s="82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</row>
    <row r="6" ht="21.0" customHeight="1">
      <c r="A6" s="82"/>
      <c r="B6" s="82"/>
      <c r="C6" s="82"/>
      <c r="D6" s="82"/>
      <c r="E6" s="82"/>
      <c r="F6" s="83" t="s">
        <v>102</v>
      </c>
      <c r="G6" s="82"/>
      <c r="H6" s="82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</row>
    <row r="7" ht="21.0" customHeight="1">
      <c r="A7" s="82"/>
      <c r="B7" s="82"/>
      <c r="C7" s="82"/>
      <c r="D7" s="82"/>
      <c r="E7" s="82"/>
      <c r="F7" s="83" t="s">
        <v>50</v>
      </c>
      <c r="G7" s="82"/>
      <c r="H7" s="82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 ht="21.0" customHeight="1">
      <c r="A8" s="82"/>
      <c r="B8" s="82"/>
      <c r="C8" s="82"/>
      <c r="D8" s="82"/>
      <c r="E8" s="82"/>
      <c r="F8" s="86" t="s">
        <v>104</v>
      </c>
      <c r="G8" s="82"/>
      <c r="H8" s="82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 ht="21.0" customHeight="1">
      <c r="A9" s="78"/>
      <c r="B9" s="78"/>
      <c r="C9" s="78"/>
      <c r="D9" s="78"/>
      <c r="E9" s="78"/>
      <c r="F9" s="83" t="s">
        <v>56</v>
      </c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</row>
    <row r="10" ht="21.0" customHeight="1">
      <c r="A10" s="78"/>
      <c r="B10" s="78"/>
      <c r="C10" s="78"/>
      <c r="D10" s="78"/>
      <c r="E10" s="78"/>
      <c r="F10" s="86" t="s">
        <v>105</v>
      </c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 ht="21.0" customHeight="1">
      <c r="A11" s="78"/>
      <c r="B11" s="78"/>
      <c r="C11" s="78"/>
      <c r="D11" s="78"/>
      <c r="E11" s="78"/>
      <c r="F11" s="83" t="s">
        <v>60</v>
      </c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>
      <c r="A12" s="78"/>
      <c r="B12" s="78"/>
      <c r="C12" s="78"/>
      <c r="D12" s="78"/>
      <c r="E12" s="78"/>
      <c r="F12" s="78"/>
      <c r="G12" s="78"/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>
      <c r="A13" s="78"/>
      <c r="B13" s="78"/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>
      <c r="A14" s="78"/>
      <c r="B14" s="78"/>
      <c r="C14" s="78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</row>
    <row r="15">
      <c r="A15" s="78"/>
      <c r="B15" s="78"/>
      <c r="C15" s="78"/>
      <c r="D15" s="78"/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</row>
    <row r="16">
      <c r="A16" s="78"/>
      <c r="B16" s="78"/>
      <c r="C16" s="78"/>
      <c r="D16" s="78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</row>
    <row r="17">
      <c r="A17" s="78"/>
      <c r="B17" s="78"/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</row>
    <row r="18">
      <c r="A18" s="78"/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</row>
    <row r="19">
      <c r="A19" s="78"/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>
      <c r="A20" s="78"/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 ht="15.75" customHeight="1">
      <c r="A21" s="78"/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 ht="15.75" customHeight="1">
      <c r="A22" s="78"/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</row>
    <row r="23" ht="15.75" customHeight="1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 ht="15.75" customHeight="1">
      <c r="A24" s="78"/>
      <c r="B24" s="78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 ht="15.75" customHeight="1">
      <c r="A25" s="78"/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 ht="15.75" customHeight="1">
      <c r="A26" s="78"/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 ht="15.75" customHeight="1">
      <c r="A27" s="78"/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</row>
    <row r="28" ht="15.75" customHeight="1">
      <c r="A28" s="78"/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 ht="15.75" customHeight="1">
      <c r="A29" s="78"/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 ht="15.75" customHeight="1">
      <c r="A30" s="78"/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 ht="15.75" customHeight="1">
      <c r="A31" s="78"/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</row>
    <row r="32" ht="15.75" customHeight="1">
      <c r="A32" s="78"/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 ht="15.75" customHeight="1">
      <c r="A33" s="78"/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 ht="15.75" customHeight="1">
      <c r="A34" s="78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 ht="15.75" customHeight="1">
      <c r="A35" s="78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 ht="15.75" customHeight="1">
      <c r="A36" s="78"/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</row>
    <row r="37" ht="15.75" customHeight="1">
      <c r="A37" s="78"/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ht="15.75" customHeight="1">
      <c r="A38" s="78"/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ht="15.75" customHeight="1">
      <c r="A39" s="78"/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 ht="15.75" customHeight="1">
      <c r="A40" s="78"/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 ht="15.75" customHeight="1">
      <c r="A41" s="78"/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</row>
    <row r="42" ht="15.75" customHeight="1">
      <c r="A42" s="78"/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 ht="15.75" customHeight="1">
      <c r="A43" s="78"/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 ht="15.75" customHeight="1">
      <c r="A44" s="78"/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 ht="15.75" customHeight="1">
      <c r="A45" s="78"/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</row>
    <row r="46" ht="15.75" customHeight="1">
      <c r="A46" s="78"/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 ht="15.75" customHeight="1">
      <c r="A47" s="78"/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 ht="15.75" customHeight="1">
      <c r="A48" s="78"/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 ht="15.75" customHeight="1">
      <c r="A49" s="78"/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 ht="15.75" customHeight="1">
      <c r="A50" s="78"/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</row>
    <row r="51" ht="15.75" customHeight="1">
      <c r="A51" s="78"/>
      <c r="B51" s="78"/>
      <c r="C51" s="78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 ht="15.75" customHeight="1">
      <c r="A52" s="78"/>
      <c r="B52" s="78"/>
      <c r="C52" s="7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 ht="15.75" customHeight="1">
      <c r="A53" s="78"/>
      <c r="B53" s="78"/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 ht="15.75" customHeight="1">
      <c r="A54" s="78"/>
      <c r="B54" s="78"/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 ht="15.75" customHeight="1">
      <c r="A55" s="78"/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ht="15.75" customHeight="1">
      <c r="A56" s="78"/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 ht="15.75" customHeight="1">
      <c r="A57" s="78"/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 ht="15.75" customHeight="1">
      <c r="A58" s="78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 ht="15.75" customHeight="1">
      <c r="A59" s="78"/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 ht="15.75" customHeight="1">
      <c r="A60" s="78"/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</row>
    <row r="61" ht="15.75" customHeight="1">
      <c r="A61" s="78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ht="15.75" customHeight="1">
      <c r="A62" s="78"/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 ht="15.75" customHeight="1">
      <c r="A63" s="78"/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 ht="15.75" customHeight="1">
      <c r="A64" s="78"/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</row>
    <row r="65" ht="15.75" customHeight="1">
      <c r="A65" s="78"/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 ht="15.75" customHeight="1">
      <c r="A66" s="78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 ht="15.75" customHeight="1">
      <c r="A67" s="78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 ht="15.75" customHeight="1">
      <c r="A68" s="78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</row>
    <row r="69" ht="15.75" customHeight="1">
      <c r="A69" s="78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 ht="15.75" customHeight="1">
      <c r="A70" s="78"/>
      <c r="B70" s="78"/>
      <c r="C70" s="7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 ht="15.75" customHeight="1">
      <c r="A71" s="78"/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 ht="15.75" customHeight="1">
      <c r="A72" s="78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 ht="15.75" customHeight="1">
      <c r="A73" s="78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</row>
    <row r="74" ht="15.75" customHeight="1">
      <c r="A74" s="78"/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 ht="15.75" customHeight="1">
      <c r="A75" s="78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 ht="15.75" customHeight="1">
      <c r="A76" s="78"/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 ht="15.75" customHeight="1">
      <c r="A77" s="78"/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 ht="15.75" customHeight="1">
      <c r="A78" s="78"/>
      <c r="B78" s="78"/>
      <c r="C78" s="78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</row>
    <row r="79" ht="15.75" customHeight="1">
      <c r="A79" s="78"/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 ht="15.75" customHeight="1">
      <c r="A80" s="78"/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 ht="15.75" customHeight="1">
      <c r="A81" s="78"/>
      <c r="B81" s="78"/>
      <c r="C81" s="78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 ht="15.75" customHeight="1">
      <c r="A82" s="78"/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 ht="15.75" customHeight="1">
      <c r="A83" s="78"/>
      <c r="B83" s="78"/>
      <c r="C83" s="78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</row>
    <row r="84" ht="15.75" customHeight="1">
      <c r="A84" s="78"/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 ht="15.75" customHeight="1">
      <c r="A85" s="78"/>
      <c r="B85" s="78"/>
      <c r="C85" s="78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 ht="15.75" customHeight="1">
      <c r="A86" s="78"/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 ht="15.75" customHeight="1">
      <c r="A87" s="78"/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</row>
    <row r="88" ht="15.75" customHeight="1">
      <c r="A88" s="78"/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 ht="15.75" customHeight="1">
      <c r="A89" s="78"/>
      <c r="B89" s="78"/>
      <c r="C89" s="78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 ht="15.75" customHeight="1">
      <c r="A90" s="78"/>
      <c r="B90" s="78"/>
      <c r="C90" s="78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</row>
    <row r="91" ht="15.75" customHeight="1">
      <c r="A91" s="78"/>
      <c r="B91" s="78"/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</row>
    <row r="92" ht="15.75" customHeight="1">
      <c r="A92" s="78"/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</row>
    <row r="93" ht="15.75" customHeight="1">
      <c r="A93" s="78"/>
      <c r="B93" s="78"/>
      <c r="C93" s="78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 ht="15.75" customHeight="1">
      <c r="A94" s="78"/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</row>
    <row r="95" ht="15.75" customHeight="1">
      <c r="A95" s="78"/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</row>
    <row r="96" ht="15.75" customHeight="1">
      <c r="A96" s="78"/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</row>
    <row r="97" ht="15.75" customHeight="1">
      <c r="A97" s="78"/>
      <c r="B97" s="78"/>
      <c r="C97" s="78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 ht="15.75" customHeight="1">
      <c r="A98" s="78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 ht="15.75" customHeight="1">
      <c r="A99" s="78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 ht="15.75" customHeight="1">
      <c r="A100" s="78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 ht="15.75" customHeight="1">
      <c r="A101" s="78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 ht="15.75" customHeight="1">
      <c r="A102" s="78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 ht="15.75" customHeight="1">
      <c r="A103" s="78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 ht="15.75" customHeight="1">
      <c r="A104" s="78"/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 ht="15.75" customHeight="1">
      <c r="A105" s="78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 ht="15.75" customHeight="1">
      <c r="A106" s="78"/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 ht="15.75" customHeight="1">
      <c r="A107" s="78"/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 ht="15.75" customHeight="1">
      <c r="A108" s="78"/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</row>
    <row r="109" ht="15.75" customHeight="1">
      <c r="A109" s="78"/>
      <c r="B109" s="78"/>
      <c r="C109" s="7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</row>
    <row r="110" ht="15.75" customHeight="1">
      <c r="A110" s="78"/>
      <c r="B110" s="78"/>
      <c r="C110" s="7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</row>
    <row r="111" ht="15.75" customHeight="1">
      <c r="A111" s="78"/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</row>
    <row r="112" ht="15.75" customHeight="1">
      <c r="A112" s="78"/>
      <c r="B112" s="78"/>
      <c r="C112" s="78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</row>
    <row r="113" ht="15.75" customHeight="1">
      <c r="A113" s="78"/>
      <c r="B113" s="78"/>
      <c r="C113" s="78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</row>
    <row r="114" ht="15.75" customHeight="1">
      <c r="A114" s="78"/>
      <c r="B114" s="78"/>
      <c r="C114" s="7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</row>
    <row r="115" ht="15.75" customHeight="1">
      <c r="A115" s="78"/>
      <c r="B115" s="78"/>
      <c r="C115" s="78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</row>
    <row r="116" ht="15.75" customHeight="1">
      <c r="A116" s="78"/>
      <c r="B116" s="78"/>
      <c r="C116" s="78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</row>
    <row r="117" ht="15.75" customHeight="1">
      <c r="A117" s="78"/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</row>
    <row r="118" ht="15.75" customHeight="1">
      <c r="A118" s="78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</row>
    <row r="119" ht="15.75" customHeight="1">
      <c r="A119" s="78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</row>
    <row r="120" ht="15.75" customHeight="1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</row>
    <row r="121" ht="15.75" customHeight="1">
      <c r="A121" s="78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</row>
    <row r="122" ht="15.75" customHeight="1">
      <c r="A122" s="78"/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</row>
    <row r="123" ht="15.75" customHeight="1">
      <c r="A123" s="78"/>
      <c r="B123" s="78"/>
      <c r="C123" s="7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</row>
    <row r="124" ht="15.75" customHeight="1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</row>
    <row r="125" ht="15.75" customHeight="1">
      <c r="A125" s="78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</row>
    <row r="126" ht="15.75" customHeight="1">
      <c r="A126" s="78"/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</row>
    <row r="127" ht="15.75" customHeight="1">
      <c r="A127" s="78"/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 ht="15.75" customHeight="1">
      <c r="A128" s="78"/>
      <c r="B128" s="78"/>
      <c r="C128" s="7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 ht="15.75" customHeight="1">
      <c r="A129" s="78"/>
      <c r="B129" s="78"/>
      <c r="C129" s="7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 ht="15.75" customHeight="1">
      <c r="A130" s="78"/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 ht="15.75" customHeight="1">
      <c r="A131" s="78"/>
      <c r="B131" s="78"/>
      <c r="C131" s="78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 ht="15.75" customHeight="1">
      <c r="A132" s="78"/>
      <c r="B132" s="78"/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 ht="15.75" customHeight="1">
      <c r="A133" s="78"/>
      <c r="B133" s="78"/>
      <c r="C133" s="78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 ht="15.75" customHeight="1">
      <c r="A134" s="78"/>
      <c r="B134" s="78"/>
      <c r="C134" s="78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 ht="15.75" customHeight="1">
      <c r="A135" s="78"/>
      <c r="B135" s="78"/>
      <c r="C135" s="78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 ht="15.75" customHeight="1">
      <c r="A136" s="78"/>
      <c r="B136" s="78"/>
      <c r="C136" s="7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</row>
    <row r="137" ht="15.75" customHeight="1">
      <c r="A137" s="78"/>
      <c r="B137" s="78"/>
      <c r="C137" s="78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 ht="15.75" customHeight="1">
      <c r="A138" s="78"/>
      <c r="B138" s="78"/>
      <c r="C138" s="78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 ht="15.75" customHeight="1">
      <c r="A139" s="78"/>
      <c r="B139" s="78"/>
      <c r="C139" s="78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 ht="15.75" customHeight="1">
      <c r="A140" s="78"/>
      <c r="B140" s="78"/>
      <c r="C140" s="78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 ht="15.75" customHeight="1">
      <c r="A141" s="78"/>
      <c r="B141" s="78"/>
      <c r="C141" s="78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 ht="15.75" customHeight="1">
      <c r="A142" s="78"/>
      <c r="B142" s="78"/>
      <c r="C142" s="78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 ht="15.75" customHeight="1">
      <c r="A143" s="78"/>
      <c r="B143" s="78"/>
      <c r="C143" s="78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 ht="15.75" customHeight="1">
      <c r="A144" s="78"/>
      <c r="B144" s="78"/>
      <c r="C144" s="78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 ht="15.75" customHeight="1">
      <c r="A145" s="78"/>
      <c r="B145" s="78"/>
      <c r="C145" s="78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 ht="15.75" customHeight="1">
      <c r="A146" s="78"/>
      <c r="B146" s="78"/>
      <c r="C146" s="78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</row>
    <row r="147" ht="15.75" customHeight="1">
      <c r="A147" s="78"/>
      <c r="B147" s="78"/>
      <c r="C147" s="78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</row>
    <row r="148" ht="15.75" customHeight="1">
      <c r="A148" s="78"/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</row>
    <row r="149" ht="15.75" customHeight="1">
      <c r="A149" s="78"/>
      <c r="B149" s="78"/>
      <c r="C149" s="78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</row>
    <row r="150" ht="15.75" customHeight="1">
      <c r="A150" s="78"/>
      <c r="B150" s="78"/>
      <c r="C150" s="78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</row>
    <row r="151" ht="15.75" customHeight="1">
      <c r="A151" s="78"/>
      <c r="B151" s="78"/>
      <c r="C151" s="7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</row>
    <row r="152" ht="15.75" customHeight="1">
      <c r="A152" s="78"/>
      <c r="B152" s="78"/>
      <c r="C152" s="78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</row>
    <row r="153" ht="15.75" customHeight="1">
      <c r="A153" s="78"/>
      <c r="B153" s="78"/>
      <c r="C153" s="78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</row>
    <row r="154" ht="15.75" customHeight="1">
      <c r="A154" s="78"/>
      <c r="B154" s="78"/>
      <c r="C154" s="78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</row>
    <row r="155" ht="15.75" customHeight="1">
      <c r="A155" s="78"/>
      <c r="B155" s="78"/>
      <c r="C155" s="78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</row>
    <row r="156" ht="15.75" customHeight="1">
      <c r="A156" s="78"/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 ht="15.75" customHeight="1">
      <c r="A157" s="78"/>
      <c r="B157" s="78"/>
      <c r="C157" s="78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</row>
    <row r="158" ht="15.75" customHeight="1">
      <c r="A158" s="78"/>
      <c r="B158" s="78"/>
      <c r="C158" s="78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</row>
    <row r="159" ht="15.75" customHeight="1">
      <c r="A159" s="78"/>
      <c r="B159" s="78"/>
      <c r="C159" s="78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 ht="15.75" customHeight="1">
      <c r="A160" s="78"/>
      <c r="B160" s="78"/>
      <c r="C160" s="7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</row>
    <row r="161" ht="15.75" customHeight="1">
      <c r="A161" s="78"/>
      <c r="B161" s="78"/>
      <c r="C161" s="7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 ht="15.75" customHeight="1">
      <c r="A162" s="78"/>
      <c r="B162" s="78"/>
      <c r="C162" s="78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 ht="15.75" customHeight="1">
      <c r="A163" s="78"/>
      <c r="B163" s="78"/>
      <c r="C163" s="78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</row>
    <row r="164" ht="15.75" customHeight="1">
      <c r="A164" s="78"/>
      <c r="B164" s="78"/>
      <c r="C164" s="78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 ht="15.75" customHeight="1">
      <c r="A165" s="78"/>
      <c r="B165" s="78"/>
      <c r="C165" s="78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</row>
    <row r="166" ht="15.75" customHeight="1">
      <c r="A166" s="78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</row>
    <row r="167" ht="15.75" customHeight="1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</row>
    <row r="168" ht="15.75" customHeight="1">
      <c r="A168" s="78"/>
      <c r="B168" s="78"/>
      <c r="C168" s="78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</row>
    <row r="169" ht="15.75" customHeight="1">
      <c r="A169" s="78"/>
      <c r="B169" s="78"/>
      <c r="C169" s="7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</row>
    <row r="170" ht="15.75" customHeight="1">
      <c r="A170" s="78"/>
      <c r="B170" s="78"/>
      <c r="C170" s="78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</row>
    <row r="171" ht="15.75" customHeight="1">
      <c r="A171" s="78"/>
      <c r="B171" s="78"/>
      <c r="C171" s="78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</row>
    <row r="172" ht="15.75" customHeight="1">
      <c r="A172" s="78"/>
      <c r="B172" s="78"/>
      <c r="C172" s="78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</row>
    <row r="173" ht="15.75" customHeight="1">
      <c r="A173" s="78"/>
      <c r="B173" s="78"/>
      <c r="C173" s="78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</row>
    <row r="174" ht="15.75" customHeight="1">
      <c r="A174" s="78"/>
      <c r="B174" s="7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</row>
    <row r="175" ht="15.75" customHeight="1">
      <c r="A175" s="78"/>
      <c r="B175" s="78"/>
      <c r="C175" s="78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</row>
    <row r="176" ht="15.75" customHeight="1">
      <c r="A176" s="78"/>
      <c r="B176" s="78"/>
      <c r="C176" s="7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</row>
    <row r="177" ht="15.75" customHeight="1">
      <c r="A177" s="78"/>
      <c r="B177" s="78"/>
      <c r="C177" s="78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</row>
    <row r="178" ht="15.75" customHeight="1">
      <c r="A178" s="78"/>
      <c r="B178" s="78"/>
      <c r="C178" s="78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</row>
    <row r="179" ht="15.75" customHeight="1">
      <c r="A179" s="78"/>
      <c r="B179" s="78"/>
      <c r="C179" s="7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</row>
    <row r="180" ht="15.75" customHeight="1">
      <c r="A180" s="78"/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</row>
    <row r="181" ht="15.75" customHeight="1">
      <c r="A181" s="78"/>
      <c r="B181" s="78"/>
      <c r="C181" s="78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</row>
    <row r="182" ht="15.75" customHeight="1">
      <c r="A182" s="78"/>
      <c r="B182" s="78"/>
      <c r="C182" s="78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</row>
    <row r="183" ht="15.75" customHeight="1">
      <c r="A183" s="78"/>
      <c r="B183" s="78"/>
      <c r="C183" s="78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</row>
    <row r="184" ht="15.75" customHeight="1">
      <c r="A184" s="78"/>
      <c r="B184" s="78"/>
      <c r="C184" s="78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</row>
    <row r="185" ht="15.75" customHeight="1">
      <c r="A185" s="78"/>
      <c r="B185" s="78"/>
      <c r="C185" s="7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</row>
    <row r="186" ht="15.75" customHeight="1">
      <c r="A186" s="78"/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</row>
    <row r="187" ht="15.75" customHeight="1">
      <c r="A187" s="78"/>
      <c r="B187" s="78"/>
      <c r="C187" s="78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</row>
    <row r="188" ht="15.75" customHeight="1">
      <c r="A188" s="78"/>
      <c r="B188" s="78"/>
      <c r="C188" s="7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</row>
    <row r="189" ht="15.75" customHeight="1">
      <c r="A189" s="78"/>
      <c r="B189" s="78"/>
      <c r="C189" s="7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</row>
    <row r="190" ht="15.75" customHeight="1">
      <c r="A190" s="78"/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</row>
    <row r="191" ht="15.75" customHeight="1">
      <c r="A191" s="78"/>
      <c r="B191" s="78"/>
      <c r="C191" s="7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</row>
    <row r="192" ht="15.75" customHeight="1">
      <c r="A192" s="78"/>
      <c r="B192" s="78"/>
      <c r="C192" s="78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</row>
    <row r="193" ht="15.75" customHeight="1">
      <c r="A193" s="78"/>
      <c r="B193" s="78"/>
      <c r="C193" s="78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</row>
    <row r="194" ht="15.75" customHeight="1">
      <c r="A194" s="78"/>
      <c r="B194" s="78"/>
      <c r="C194" s="7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</row>
    <row r="195" ht="15.75" customHeight="1">
      <c r="A195" s="78"/>
      <c r="B195" s="78"/>
      <c r="C195" s="78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</row>
    <row r="196" ht="15.75" customHeight="1">
      <c r="A196" s="78"/>
      <c r="B196" s="78"/>
      <c r="C196" s="78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</row>
    <row r="197" ht="15.75" customHeight="1">
      <c r="A197" s="78"/>
      <c r="B197" s="78"/>
      <c r="C197" s="7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</row>
    <row r="198" ht="15.75" customHeight="1">
      <c r="A198" s="78"/>
      <c r="B198" s="78"/>
      <c r="C198" s="78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</row>
    <row r="199" ht="15.75" customHeight="1">
      <c r="A199" s="78"/>
      <c r="B199" s="78"/>
      <c r="C199" s="78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</row>
    <row r="200" ht="15.75" customHeight="1">
      <c r="A200" s="78"/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</row>
    <row r="201" ht="15.75" customHeight="1">
      <c r="A201" s="78"/>
      <c r="B201" s="78"/>
      <c r="C201" s="78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</row>
    <row r="202" ht="15.75" customHeight="1">
      <c r="A202" s="78"/>
      <c r="B202" s="78"/>
      <c r="C202" s="78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</row>
    <row r="203" ht="15.75" customHeight="1">
      <c r="A203" s="78"/>
      <c r="B203" s="78"/>
      <c r="C203" s="78"/>
      <c r="D203" s="78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</row>
    <row r="204" ht="15.75" customHeight="1">
      <c r="A204" s="78"/>
      <c r="B204" s="78"/>
      <c r="C204" s="78"/>
      <c r="D204" s="78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</row>
    <row r="205" ht="15.75" customHeight="1">
      <c r="A205" s="78"/>
      <c r="B205" s="78"/>
      <c r="C205" s="78"/>
      <c r="D205" s="78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</row>
    <row r="206" ht="15.75" customHeight="1">
      <c r="A206" s="78"/>
      <c r="B206" s="78"/>
      <c r="C206" s="78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</row>
    <row r="207" ht="15.75" customHeight="1">
      <c r="A207" s="78"/>
      <c r="B207" s="78"/>
      <c r="C207" s="78"/>
      <c r="D207" s="78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</row>
    <row r="208" ht="15.75" customHeight="1">
      <c r="A208" s="78"/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</row>
    <row r="209" ht="15.75" customHeight="1">
      <c r="A209" s="78"/>
      <c r="B209" s="78"/>
      <c r="C209" s="78"/>
      <c r="D209" s="78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</row>
    <row r="210" ht="15.75" customHeight="1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</row>
    <row r="211" ht="15.75" customHeight="1">
      <c r="A211" s="78"/>
      <c r="B211" s="78"/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 ht="15.75" customHeight="1">
      <c r="A212" s="78"/>
      <c r="B212" s="78"/>
      <c r="C212" s="78"/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</row>
    <row r="213" ht="15.75" customHeight="1">
      <c r="A213" s="78"/>
      <c r="B213" s="78"/>
      <c r="C213" s="78"/>
      <c r="D213" s="78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</row>
    <row r="214" ht="15.75" customHeight="1">
      <c r="A214" s="78"/>
      <c r="B214" s="78"/>
      <c r="C214" s="78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</row>
    <row r="215" ht="15.75" customHeight="1">
      <c r="A215" s="78"/>
      <c r="B215" s="78"/>
      <c r="C215" s="78"/>
      <c r="D215" s="78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</row>
    <row r="216" ht="15.75" customHeight="1">
      <c r="A216" s="78"/>
      <c r="B216" s="78"/>
      <c r="C216" s="78"/>
      <c r="D216" s="78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</row>
    <row r="217" ht="15.75" customHeight="1">
      <c r="A217" s="78"/>
      <c r="B217" s="78"/>
      <c r="C217" s="78"/>
      <c r="D217" s="78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</row>
    <row r="218" ht="15.75" customHeight="1">
      <c r="A218" s="78"/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</row>
    <row r="219" ht="15.75" customHeight="1">
      <c r="A219" s="78"/>
      <c r="B219" s="78"/>
      <c r="C219" s="78"/>
      <c r="D219" s="78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</row>
    <row r="220" ht="15.75" customHeight="1">
      <c r="A220" s="78"/>
      <c r="B220" s="78"/>
      <c r="C220" s="78"/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</row>
    <row r="221" ht="15.75" customHeight="1">
      <c r="A221" s="78"/>
      <c r="B221" s="78"/>
      <c r="C221" s="78"/>
      <c r="D221" s="78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</row>
    <row r="222" ht="15.75" customHeight="1">
      <c r="A222" s="78"/>
      <c r="B222" s="78"/>
      <c r="C222" s="78"/>
      <c r="D222" s="78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8"/>
    </row>
    <row r="223" ht="15.75" customHeight="1">
      <c r="A223" s="78"/>
      <c r="B223" s="78"/>
      <c r="C223" s="78"/>
      <c r="D223" s="78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78"/>
    </row>
    <row r="224" ht="15.75" customHeight="1">
      <c r="A224" s="78"/>
      <c r="B224" s="78"/>
      <c r="C224" s="78"/>
      <c r="D224" s="78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</row>
    <row r="225" ht="15.75" customHeight="1">
      <c r="A225" s="78"/>
      <c r="B225" s="78"/>
      <c r="C225" s="78"/>
      <c r="D225" s="78"/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78"/>
    </row>
    <row r="226" ht="15.75" customHeight="1">
      <c r="A226" s="78"/>
      <c r="B226" s="78"/>
      <c r="C226" s="78"/>
      <c r="D226" s="78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78"/>
    </row>
    <row r="227" ht="15.75" customHeight="1">
      <c r="A227" s="78"/>
      <c r="B227" s="78"/>
      <c r="C227" s="78"/>
      <c r="D227" s="78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</row>
    <row r="228" ht="15.75" customHeight="1">
      <c r="A228" s="78"/>
      <c r="B228" s="78"/>
      <c r="C228" s="78"/>
      <c r="D228" s="78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78"/>
    </row>
    <row r="229" ht="15.75" customHeight="1">
      <c r="A229" s="78"/>
      <c r="B229" s="78"/>
      <c r="C229" s="78"/>
      <c r="D229" s="78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</row>
    <row r="230" ht="15.75" customHeight="1">
      <c r="A230" s="78"/>
      <c r="B230" s="78"/>
      <c r="C230" s="78"/>
      <c r="D230" s="78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78"/>
    </row>
    <row r="231" ht="15.75" customHeight="1">
      <c r="A231" s="78"/>
      <c r="B231" s="78"/>
      <c r="C231" s="78"/>
      <c r="D231" s="78"/>
      <c r="E231" s="78"/>
      <c r="F231" s="78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78"/>
    </row>
    <row r="232" ht="15.75" customHeight="1">
      <c r="A232" s="78"/>
      <c r="B232" s="78"/>
      <c r="C232" s="78"/>
      <c r="D232" s="78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</row>
    <row r="233" ht="15.75" customHeight="1">
      <c r="A233" s="78"/>
      <c r="B233" s="78"/>
      <c r="C233" s="78"/>
      <c r="D233" s="78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78"/>
    </row>
    <row r="234" ht="15.75" customHeight="1">
      <c r="A234" s="78"/>
      <c r="B234" s="78"/>
      <c r="C234" s="78"/>
      <c r="D234" s="78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  <c r="Z234" s="78"/>
    </row>
    <row r="235" ht="15.75" customHeight="1">
      <c r="A235" s="78"/>
      <c r="B235" s="78"/>
      <c r="C235" s="78"/>
      <c r="D235" s="78"/>
      <c r="E235" s="78"/>
      <c r="F235" s="78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78"/>
    </row>
    <row r="236" ht="15.75" customHeight="1">
      <c r="A236" s="78"/>
      <c r="B236" s="78"/>
      <c r="C236" s="78"/>
      <c r="D236" s="78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</row>
    <row r="237" ht="15.75" customHeight="1">
      <c r="A237" s="78"/>
      <c r="B237" s="78"/>
      <c r="C237" s="78"/>
      <c r="D237" s="78"/>
      <c r="E237" s="78"/>
      <c r="F237" s="78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  <c r="Z237" s="78"/>
    </row>
    <row r="238" ht="15.75" customHeight="1">
      <c r="A238" s="78"/>
      <c r="B238" s="78"/>
      <c r="C238" s="78"/>
      <c r="D238" s="78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  <c r="Z238" s="78"/>
    </row>
    <row r="239" ht="15.75" customHeight="1">
      <c r="A239" s="78"/>
      <c r="B239" s="78"/>
      <c r="C239" s="78"/>
      <c r="D239" s="78"/>
      <c r="E239" s="78"/>
      <c r="F239" s="78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  <c r="Z239" s="78"/>
    </row>
    <row r="240" ht="15.75" customHeight="1">
      <c r="A240" s="78"/>
      <c r="B240" s="78"/>
      <c r="C240" s="78"/>
      <c r="D240" s="78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  <c r="Z240" s="78"/>
    </row>
    <row r="241" ht="15.75" customHeight="1">
      <c r="A241" s="78"/>
      <c r="B241" s="78"/>
      <c r="C241" s="78"/>
      <c r="D241" s="78"/>
      <c r="E241" s="78"/>
      <c r="F241" s="78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  <c r="Z241" s="78"/>
    </row>
    <row r="242" ht="15.75" customHeight="1">
      <c r="A242" s="78"/>
      <c r="B242" s="78"/>
      <c r="C242" s="78"/>
      <c r="D242" s="78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78"/>
    </row>
    <row r="243" ht="15.75" customHeight="1">
      <c r="A243" s="78"/>
      <c r="B243" s="78"/>
      <c r="C243" s="78"/>
      <c r="D243" s="78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</row>
    <row r="244" ht="15.75" customHeight="1">
      <c r="A244" s="78"/>
      <c r="B244" s="78"/>
      <c r="C244" s="78"/>
      <c r="D244" s="78"/>
      <c r="E244" s="78"/>
      <c r="F244" s="78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8"/>
      <c r="Z244" s="78"/>
    </row>
    <row r="245" ht="15.75" customHeight="1">
      <c r="A245" s="78"/>
      <c r="B245" s="78"/>
      <c r="C245" s="78"/>
      <c r="D245" s="78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  <c r="Z245" s="78"/>
    </row>
    <row r="246" ht="15.75" customHeight="1">
      <c r="A246" s="78"/>
      <c r="B246" s="78"/>
      <c r="C246" s="78"/>
      <c r="D246" s="7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  <c r="Z246" s="78"/>
    </row>
    <row r="247" ht="15.75" customHeight="1">
      <c r="A247" s="78"/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</row>
    <row r="248" ht="15.75" customHeight="1">
      <c r="A248" s="78"/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</row>
    <row r="249" ht="15.75" customHeight="1">
      <c r="A249" s="78"/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</row>
    <row r="250" ht="15.75" customHeight="1">
      <c r="A250" s="78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</row>
    <row r="251" ht="15.75" customHeight="1">
      <c r="A251" s="78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</row>
    <row r="252" ht="15.75" customHeight="1">
      <c r="A252" s="78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  <c r="Z252" s="78"/>
    </row>
    <row r="253" ht="15.75" customHeight="1">
      <c r="A253" s="78"/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</row>
    <row r="254" ht="15.75" customHeight="1">
      <c r="A254" s="78"/>
      <c r="B254" s="78"/>
      <c r="C254" s="78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</row>
    <row r="255" ht="15.75" customHeight="1">
      <c r="A255" s="78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  <c r="Z255" s="78"/>
    </row>
    <row r="256" ht="15.75" customHeight="1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</row>
    <row r="257" ht="15.75" customHeight="1">
      <c r="A257" s="78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</row>
    <row r="258" ht="15.75" customHeight="1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</row>
    <row r="259" ht="15.75" customHeight="1">
      <c r="A259" s="78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  <c r="Z259" s="78"/>
    </row>
    <row r="260" ht="15.75" customHeight="1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</row>
    <row r="261" ht="15.75" customHeight="1">
      <c r="A261" s="78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</row>
    <row r="262" ht="15.75" customHeight="1">
      <c r="A262" s="78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</row>
    <row r="263" ht="15.75" customHeight="1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  <c r="Z263" s="78"/>
    </row>
    <row r="264" ht="15.75" customHeight="1">
      <c r="A264" s="78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</row>
    <row r="265" ht="15.75" customHeight="1">
      <c r="A265" s="78"/>
      <c r="B265" s="78"/>
      <c r="C265" s="78"/>
      <c r="D265" s="78"/>
      <c r="E265" s="78"/>
      <c r="F265" s="78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  <c r="Z265" s="78"/>
    </row>
    <row r="266" ht="15.75" customHeight="1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  <c r="Z266" s="78"/>
    </row>
    <row r="267" ht="15.75" customHeight="1">
      <c r="A267" s="78"/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  <c r="Z267" s="78"/>
    </row>
    <row r="268" ht="15.75" customHeight="1">
      <c r="A268" s="78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  <c r="Z268" s="78"/>
    </row>
    <row r="269" ht="15.75" customHeight="1">
      <c r="A269" s="78"/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  <c r="Z269" s="78"/>
    </row>
    <row r="270" ht="15.75" customHeight="1">
      <c r="A270" s="78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  <c r="Z270" s="78"/>
    </row>
    <row r="271" ht="15.75" customHeight="1">
      <c r="A271" s="78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  <c r="Z271" s="78"/>
    </row>
    <row r="272" ht="15.75" customHeight="1">
      <c r="A272" s="78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78"/>
    </row>
    <row r="273" ht="15.75" customHeight="1">
      <c r="A273" s="78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8"/>
    </row>
    <row r="274" ht="15.75" customHeight="1">
      <c r="A274" s="78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</row>
    <row r="275" ht="15.75" customHeight="1">
      <c r="A275" s="78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</row>
    <row r="276" ht="15.75" customHeight="1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</row>
    <row r="277" ht="15.75" customHeight="1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</row>
    <row r="278" ht="15.75" customHeight="1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</row>
    <row r="279" ht="15.75" customHeight="1">
      <c r="A279" s="78"/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</row>
    <row r="280" ht="15.75" customHeight="1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</row>
    <row r="281" ht="15.75" customHeight="1">
      <c r="A281" s="78"/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</row>
    <row r="282" ht="15.75" customHeight="1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</row>
    <row r="283" ht="15.75" customHeight="1">
      <c r="A283" s="78"/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</row>
    <row r="284" ht="15.75" customHeight="1">
      <c r="A284" s="78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</row>
    <row r="285" ht="15.75" customHeight="1">
      <c r="A285" s="78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</row>
    <row r="286" ht="15.75" customHeight="1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</row>
    <row r="287" ht="15.75" customHeight="1">
      <c r="A287" s="78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</row>
    <row r="288" ht="15.75" customHeight="1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</row>
    <row r="289" ht="15.75" customHeight="1">
      <c r="A289" s="78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</row>
    <row r="290" ht="15.75" customHeight="1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</row>
    <row r="291" ht="15.75" customHeight="1">
      <c r="A291" s="78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</row>
    <row r="292" ht="15.75" customHeight="1">
      <c r="A292" s="78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</row>
    <row r="293" ht="15.75" customHeight="1">
      <c r="A293" s="78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</row>
    <row r="294" ht="15.75" customHeight="1">
      <c r="A294" s="78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</row>
    <row r="295" ht="15.75" customHeight="1">
      <c r="A295" s="78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</row>
    <row r="296" ht="15.75" customHeight="1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</row>
    <row r="297" ht="15.75" customHeight="1">
      <c r="A297" s="78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</row>
    <row r="298" ht="15.75" customHeight="1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</row>
    <row r="299" ht="15.75" customHeight="1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</row>
    <row r="300" ht="15.75" customHeight="1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</row>
    <row r="301" ht="15.75" customHeight="1">
      <c r="A301" s="78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</row>
    <row r="302" ht="15.75" customHeight="1">
      <c r="A302" s="78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</row>
    <row r="303" ht="15.75" customHeight="1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</row>
    <row r="304" ht="15.75" customHeight="1">
      <c r="A304" s="78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</row>
    <row r="305" ht="15.75" customHeight="1">
      <c r="A305" s="78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</row>
    <row r="306" ht="15.75" customHeight="1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</row>
    <row r="307" ht="15.75" customHeight="1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</row>
    <row r="308" ht="15.75" customHeight="1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</row>
    <row r="309" ht="15.75" customHeight="1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</row>
    <row r="310" ht="15.75" customHeight="1">
      <c r="A310" s="78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</row>
    <row r="311" ht="15.75" customHeight="1">
      <c r="A311" s="78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</row>
    <row r="312" ht="15.75" customHeight="1">
      <c r="A312" s="78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</row>
    <row r="313" ht="15.75" customHeight="1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</row>
    <row r="314" ht="15.75" customHeight="1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</row>
    <row r="315" ht="15.75" customHeight="1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</row>
    <row r="316" ht="15.75" customHeight="1">
      <c r="A316" s="78"/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</row>
    <row r="317" ht="15.75" customHeight="1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</row>
    <row r="318" ht="15.75" customHeight="1">
      <c r="A318" s="78"/>
      <c r="B318" s="78"/>
      <c r="C318" s="78"/>
      <c r="D318" s="78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</row>
    <row r="319" ht="15.75" customHeight="1">
      <c r="A319" s="78"/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</row>
    <row r="320" ht="15.75" customHeight="1">
      <c r="A320" s="78"/>
      <c r="B320" s="78"/>
      <c r="C320" s="78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</row>
    <row r="321" ht="15.75" customHeight="1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</row>
    <row r="322" ht="15.75" customHeight="1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</row>
    <row r="323" ht="15.75" customHeight="1">
      <c r="A323" s="78"/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</row>
    <row r="324" ht="15.75" customHeight="1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</row>
    <row r="325" ht="15.75" customHeight="1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</row>
    <row r="326" ht="15.75" customHeight="1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</row>
    <row r="327" ht="15.75" customHeight="1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</row>
    <row r="328" ht="15.75" customHeight="1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</row>
    <row r="329" ht="15.75" customHeight="1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</row>
    <row r="330" ht="15.75" customHeight="1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</row>
    <row r="331" ht="15.75" customHeight="1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</row>
    <row r="332" ht="15.75" customHeight="1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</row>
    <row r="333" ht="15.75" customHeight="1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</row>
    <row r="334" ht="15.75" customHeight="1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</row>
    <row r="335" ht="15.75" customHeight="1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</row>
    <row r="336" ht="15.75" customHeight="1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</row>
    <row r="337" ht="15.75" customHeight="1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</row>
    <row r="338" ht="15.75" customHeight="1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</row>
    <row r="339" ht="15.75" customHeight="1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</row>
    <row r="340" ht="15.75" customHeight="1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</row>
    <row r="341" ht="15.75" customHeight="1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</row>
    <row r="342" ht="15.75" customHeight="1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</row>
    <row r="343" ht="15.75" customHeight="1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</row>
    <row r="344" ht="15.75" customHeight="1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</row>
    <row r="345" ht="15.75" customHeight="1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</row>
    <row r="346" ht="15.75" customHeight="1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</row>
    <row r="347" ht="15.75" customHeight="1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</row>
    <row r="348" ht="15.75" customHeight="1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</row>
    <row r="349" ht="15.75" customHeight="1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</row>
    <row r="350" ht="15.75" customHeight="1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</row>
    <row r="351" ht="15.75" customHeight="1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</row>
    <row r="352" ht="15.75" customHeight="1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</row>
    <row r="353" ht="15.75" customHeight="1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</row>
    <row r="354" ht="15.75" customHeight="1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</row>
    <row r="355" ht="15.75" customHeight="1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</row>
    <row r="356" ht="15.75" customHeight="1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</row>
    <row r="357" ht="15.75" customHeight="1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</row>
    <row r="358" ht="15.75" customHeight="1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</row>
    <row r="359" ht="15.75" customHeight="1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</row>
    <row r="360" ht="15.75" customHeight="1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</row>
    <row r="361" ht="15.75" customHeight="1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</row>
    <row r="362" ht="15.75" customHeight="1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</row>
    <row r="363" ht="15.75" customHeight="1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</row>
    <row r="364" ht="15.75" customHeight="1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</row>
    <row r="365" ht="15.75" customHeight="1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</row>
    <row r="366" ht="15.75" customHeight="1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</row>
    <row r="367" ht="15.75" customHeight="1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</row>
    <row r="368" ht="15.75" customHeight="1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</row>
    <row r="369" ht="15.75" customHeight="1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</row>
    <row r="370" ht="15.75" customHeight="1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</row>
    <row r="371" ht="15.75" customHeight="1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</row>
    <row r="372" ht="15.75" customHeight="1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</row>
    <row r="373" ht="15.75" customHeight="1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</row>
    <row r="374" ht="15.75" customHeight="1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</row>
    <row r="375" ht="15.75" customHeight="1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</row>
    <row r="376" ht="15.75" customHeight="1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</row>
    <row r="377" ht="15.75" customHeight="1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</row>
    <row r="378" ht="15.75" customHeight="1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</row>
    <row r="379" ht="15.75" customHeight="1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</row>
    <row r="380" ht="15.75" customHeight="1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</row>
    <row r="381" ht="15.75" customHeight="1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</row>
    <row r="382" ht="15.75" customHeight="1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</row>
    <row r="383" ht="15.75" customHeight="1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</row>
    <row r="384" ht="15.75" customHeight="1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</row>
    <row r="385" ht="15.75" customHeight="1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</row>
    <row r="386" ht="15.75" customHeight="1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</row>
    <row r="387" ht="15.75" customHeight="1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</row>
    <row r="388" ht="15.75" customHeight="1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</row>
    <row r="389" ht="15.75" customHeight="1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</row>
    <row r="390" ht="15.75" customHeight="1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</row>
    <row r="391" ht="15.75" customHeight="1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</row>
    <row r="392" ht="15.75" customHeight="1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</row>
    <row r="393" ht="15.75" customHeight="1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</row>
    <row r="394" ht="15.75" customHeight="1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</row>
    <row r="395" ht="15.75" customHeight="1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</row>
    <row r="396" ht="15.75" customHeight="1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</row>
    <row r="397" ht="15.75" customHeight="1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</row>
    <row r="398" ht="15.75" customHeight="1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</row>
    <row r="399" ht="15.75" customHeight="1">
      <c r="A399" s="78"/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</row>
    <row r="400" ht="15.75" customHeight="1">
      <c r="A400" s="78"/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</row>
    <row r="401" ht="15.75" customHeight="1">
      <c r="A401" s="78"/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</row>
    <row r="402" ht="15.75" customHeight="1">
      <c r="A402" s="78"/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</row>
    <row r="403" ht="15.75" customHeight="1">
      <c r="A403" s="78"/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</row>
    <row r="404" ht="15.75" customHeight="1">
      <c r="A404" s="78"/>
      <c r="B404" s="78"/>
      <c r="C404" s="78"/>
      <c r="D404" s="78"/>
      <c r="E404" s="78"/>
      <c r="F404" s="78"/>
      <c r="G404" s="78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</row>
    <row r="405" ht="15.75" customHeight="1">
      <c r="A405" s="78"/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</row>
    <row r="406" ht="15.75" customHeight="1">
      <c r="A406" s="78"/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</row>
    <row r="407" ht="15.75" customHeight="1">
      <c r="A407" s="78"/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</row>
    <row r="408" ht="15.75" customHeight="1">
      <c r="A408" s="78"/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</row>
    <row r="409" ht="15.75" customHeight="1">
      <c r="A409" s="78"/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</row>
    <row r="410" ht="15.75" customHeight="1">
      <c r="A410" s="78"/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</row>
    <row r="411" ht="15.75" customHeight="1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</row>
    <row r="412" ht="15.75" customHeight="1">
      <c r="A412" s="78"/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</row>
    <row r="413" ht="15.75" customHeight="1">
      <c r="A413" s="78"/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</row>
    <row r="414" ht="15.75" customHeight="1">
      <c r="A414" s="78"/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</row>
    <row r="415" ht="15.75" customHeight="1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</row>
    <row r="416" ht="15.75" customHeight="1">
      <c r="A416" s="78"/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</row>
    <row r="417" ht="15.75" customHeight="1">
      <c r="A417" s="78"/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</row>
    <row r="418" ht="15.75" customHeight="1">
      <c r="A418" s="78"/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</row>
    <row r="419" ht="15.75" customHeight="1">
      <c r="A419" s="78"/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</row>
    <row r="420" ht="15.75" customHeight="1">
      <c r="A420" s="78"/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</row>
    <row r="421" ht="15.75" customHeight="1">
      <c r="A421" s="78"/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</row>
    <row r="422" ht="15.75" customHeight="1">
      <c r="A422" s="78"/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</row>
    <row r="423" ht="15.75" customHeight="1">
      <c r="A423" s="78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</row>
    <row r="424" ht="15.75" customHeight="1">
      <c r="A424" s="78"/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</row>
    <row r="425" ht="15.75" customHeight="1">
      <c r="A425" s="78"/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</row>
    <row r="426" ht="15.75" customHeight="1">
      <c r="A426" s="78"/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</row>
    <row r="427" ht="15.75" customHeight="1">
      <c r="A427" s="78"/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</row>
    <row r="428" ht="15.75" customHeight="1">
      <c r="A428" s="78"/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</row>
    <row r="429" ht="15.75" customHeight="1">
      <c r="A429" s="78"/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</row>
    <row r="430" ht="15.75" customHeight="1">
      <c r="A430" s="78"/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</row>
    <row r="431" ht="15.75" customHeight="1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</row>
    <row r="432" ht="15.75" customHeight="1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</row>
    <row r="433" ht="15.75" customHeight="1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</row>
    <row r="434" ht="15.75" customHeight="1">
      <c r="A434" s="78"/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</row>
    <row r="435" ht="15.75" customHeight="1">
      <c r="A435" s="78"/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</row>
    <row r="436" ht="15.75" customHeight="1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</row>
    <row r="437" ht="15.75" customHeight="1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</row>
    <row r="438" ht="15.75" customHeight="1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</row>
    <row r="439" ht="15.75" customHeight="1">
      <c r="A439" s="78"/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</row>
    <row r="440" ht="15.75" customHeight="1">
      <c r="A440" s="78"/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</row>
    <row r="441" ht="15.75" customHeight="1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</row>
    <row r="442" ht="15.75" customHeight="1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</row>
    <row r="443" ht="15.75" customHeight="1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</row>
    <row r="444" ht="15.75" customHeight="1">
      <c r="A444" s="78"/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</row>
    <row r="445" ht="15.75" customHeight="1">
      <c r="A445" s="78"/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</row>
    <row r="446" ht="15.75" customHeight="1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</row>
    <row r="447" ht="15.75" customHeight="1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</row>
    <row r="448" ht="15.75" customHeight="1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</row>
    <row r="449" ht="15.75" customHeight="1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</row>
    <row r="450" ht="15.75" customHeight="1">
      <c r="A450" s="78"/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</row>
    <row r="451" ht="15.75" customHeight="1">
      <c r="A451" s="78"/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</row>
    <row r="452" ht="15.75" customHeight="1">
      <c r="A452" s="78"/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</row>
    <row r="453" ht="15.75" customHeight="1">
      <c r="A453" s="78"/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</row>
    <row r="454" ht="15.75" customHeight="1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</row>
    <row r="455" ht="15.75" customHeight="1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</row>
    <row r="456" ht="15.75" customHeight="1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</row>
    <row r="457" ht="15.75" customHeight="1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</row>
    <row r="458" ht="15.75" customHeight="1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</row>
    <row r="459" ht="15.75" customHeight="1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</row>
    <row r="460" ht="15.75" customHeight="1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</row>
    <row r="461" ht="15.75" customHeight="1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</row>
    <row r="462" ht="15.75" customHeight="1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</row>
    <row r="463" ht="15.75" customHeight="1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</row>
    <row r="464" ht="15.75" customHeight="1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</row>
    <row r="465" ht="15.75" customHeight="1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</row>
    <row r="466" ht="15.75" customHeight="1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</row>
    <row r="467" ht="15.75" customHeight="1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</row>
    <row r="468" ht="15.75" customHeight="1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</row>
    <row r="469" ht="15.75" customHeight="1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</row>
    <row r="470" ht="15.75" customHeight="1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</row>
    <row r="471" ht="15.75" customHeight="1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</row>
    <row r="472" ht="15.75" customHeight="1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</row>
    <row r="473" ht="15.75" customHeight="1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</row>
    <row r="474" ht="15.75" customHeight="1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</row>
    <row r="475" ht="15.75" customHeight="1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</row>
    <row r="476" ht="15.75" customHeight="1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</row>
    <row r="477" ht="15.75" customHeight="1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</row>
    <row r="478" ht="15.75" customHeight="1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</row>
    <row r="479" ht="15.75" customHeight="1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</row>
    <row r="480" ht="15.75" customHeight="1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</row>
    <row r="481" ht="15.75" customHeight="1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</row>
    <row r="482" ht="15.75" customHeight="1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</row>
    <row r="483" ht="15.75" customHeight="1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</row>
    <row r="484" ht="15.75" customHeight="1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</row>
    <row r="485" ht="15.75" customHeight="1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</row>
    <row r="486" ht="15.75" customHeight="1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</row>
    <row r="487" ht="15.75" customHeight="1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</row>
    <row r="488" ht="15.75" customHeight="1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</row>
    <row r="489" ht="15.75" customHeight="1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</row>
    <row r="490" ht="15.75" customHeight="1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</row>
    <row r="491" ht="15.75" customHeight="1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</row>
    <row r="492" ht="15.75" customHeight="1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</row>
    <row r="493" ht="15.75" customHeight="1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</row>
    <row r="494" ht="15.75" customHeight="1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</row>
    <row r="495" ht="15.75" customHeight="1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</row>
    <row r="496" ht="15.75" customHeight="1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</row>
    <row r="497" ht="15.75" customHeight="1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</row>
    <row r="498" ht="15.75" customHeight="1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</row>
    <row r="499" ht="15.75" customHeight="1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</row>
    <row r="500" ht="15.75" customHeight="1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</row>
    <row r="501" ht="15.75" customHeight="1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</row>
    <row r="502" ht="15.75" customHeight="1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</row>
    <row r="503" ht="15.75" customHeight="1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</row>
    <row r="504" ht="15.75" customHeight="1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</row>
    <row r="505" ht="15.75" customHeight="1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</row>
    <row r="506" ht="15.75" customHeight="1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</row>
    <row r="507" ht="15.75" customHeight="1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</row>
    <row r="508" ht="15.75" customHeight="1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</row>
    <row r="509" ht="15.75" customHeight="1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</row>
    <row r="510" ht="15.75" customHeight="1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</row>
    <row r="511" ht="15.75" customHeight="1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</row>
    <row r="512" ht="15.75" customHeight="1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</row>
    <row r="513" ht="15.75" customHeight="1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</row>
    <row r="514" ht="15.75" customHeight="1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</row>
    <row r="515" ht="15.75" customHeight="1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</row>
    <row r="516" ht="15.75" customHeight="1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</row>
    <row r="517" ht="15.75" customHeight="1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</row>
    <row r="518" ht="15.75" customHeight="1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</row>
    <row r="519" ht="15.75" customHeight="1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</row>
    <row r="520" ht="15.75" customHeight="1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</row>
    <row r="521" ht="15.75" customHeight="1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</row>
    <row r="522" ht="15.75" customHeight="1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</row>
    <row r="523" ht="15.75" customHeight="1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</row>
    <row r="524" ht="15.75" customHeight="1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</row>
    <row r="525" ht="15.75" customHeight="1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</row>
    <row r="526" ht="15.75" customHeight="1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</row>
    <row r="527" ht="15.75" customHeight="1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</row>
    <row r="528" ht="15.75" customHeight="1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</row>
    <row r="529" ht="15.75" customHeight="1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</row>
    <row r="530" ht="15.75" customHeight="1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</row>
    <row r="531" ht="15.75" customHeight="1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</row>
    <row r="532" ht="15.75" customHeight="1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</row>
    <row r="533" ht="15.75" customHeight="1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</row>
    <row r="534" ht="15.75" customHeight="1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</row>
    <row r="535" ht="15.75" customHeight="1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</row>
    <row r="536" ht="15.75" customHeight="1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</row>
    <row r="537" ht="15.75" customHeight="1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</row>
    <row r="538" ht="15.75" customHeight="1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</row>
    <row r="539" ht="15.75" customHeight="1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</row>
    <row r="540" ht="15.75" customHeight="1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</row>
    <row r="541" ht="15.75" customHeight="1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</row>
    <row r="542" ht="15.75" customHeight="1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</row>
    <row r="543" ht="15.75" customHeight="1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</row>
    <row r="544" ht="15.75" customHeight="1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</row>
    <row r="545" ht="15.75" customHeight="1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</row>
    <row r="546" ht="15.75" customHeight="1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</row>
    <row r="547" ht="15.75" customHeight="1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</row>
    <row r="548" ht="15.75" customHeight="1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</row>
    <row r="549" ht="15.75" customHeight="1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</row>
    <row r="550" ht="15.75" customHeight="1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</row>
    <row r="551" ht="15.75" customHeight="1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</row>
    <row r="552" ht="15.75" customHeight="1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</row>
    <row r="553" ht="15.75" customHeight="1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</row>
    <row r="554" ht="15.75" customHeight="1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</row>
    <row r="555" ht="15.75" customHeight="1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</row>
    <row r="556" ht="15.75" customHeight="1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</row>
    <row r="557" ht="15.75" customHeight="1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</row>
    <row r="558" ht="15.75" customHeight="1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</row>
    <row r="559" ht="15.75" customHeight="1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</row>
    <row r="560" ht="15.75" customHeight="1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</row>
    <row r="561" ht="15.75" customHeight="1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</row>
    <row r="562" ht="15.75" customHeight="1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</row>
    <row r="563" ht="15.75" customHeight="1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</row>
    <row r="564" ht="15.75" customHeight="1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</row>
    <row r="565" ht="15.75" customHeight="1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</row>
    <row r="566" ht="15.75" customHeight="1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</row>
    <row r="567" ht="15.75" customHeight="1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</row>
    <row r="568" ht="15.75" customHeight="1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</row>
    <row r="569" ht="15.75" customHeight="1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</row>
    <row r="570" ht="15.75" customHeight="1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</row>
    <row r="571" ht="15.75" customHeight="1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</row>
    <row r="572" ht="15.75" customHeight="1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</row>
    <row r="573" ht="15.75" customHeight="1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</row>
    <row r="574" ht="15.75" customHeight="1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</row>
    <row r="575" ht="15.75" customHeight="1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</row>
    <row r="576" ht="15.75" customHeight="1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</row>
    <row r="577" ht="15.75" customHeight="1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</row>
    <row r="578" ht="15.75" customHeight="1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</row>
    <row r="579" ht="15.75" customHeight="1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</row>
    <row r="580" ht="15.75" customHeight="1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</row>
    <row r="581" ht="15.75" customHeight="1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</row>
    <row r="582" ht="15.75" customHeight="1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</row>
    <row r="583" ht="15.75" customHeight="1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</row>
    <row r="584" ht="15.75" customHeight="1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</row>
    <row r="585" ht="15.75" customHeight="1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</row>
    <row r="586" ht="15.75" customHeight="1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</row>
    <row r="587" ht="15.75" customHeight="1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</row>
    <row r="588" ht="15.75" customHeight="1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</row>
    <row r="589" ht="15.75" customHeight="1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</row>
    <row r="590" ht="15.75" customHeight="1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</row>
    <row r="591" ht="15.75" customHeight="1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</row>
    <row r="592" ht="15.75" customHeight="1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</row>
    <row r="593" ht="15.75" customHeight="1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</row>
    <row r="594" ht="15.75" customHeight="1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</row>
    <row r="595" ht="15.75" customHeight="1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</row>
    <row r="596" ht="15.75" customHeight="1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</row>
    <row r="597" ht="15.75" customHeight="1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</row>
    <row r="598" ht="15.75" customHeight="1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</row>
    <row r="599" ht="15.75" customHeight="1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</row>
    <row r="600" ht="15.75" customHeight="1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</row>
    <row r="601" ht="15.75" customHeight="1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</row>
    <row r="602" ht="15.75" customHeight="1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</row>
    <row r="603" ht="15.75" customHeight="1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</row>
    <row r="604" ht="15.75" customHeight="1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</row>
    <row r="605" ht="15.75" customHeight="1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</row>
    <row r="606" ht="15.75" customHeight="1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</row>
    <row r="607" ht="15.75" customHeight="1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</row>
    <row r="608" ht="15.75" customHeight="1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</row>
    <row r="609" ht="15.75" customHeight="1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</row>
    <row r="610" ht="15.75" customHeight="1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</row>
    <row r="611" ht="15.75" customHeight="1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</row>
    <row r="612" ht="15.75" customHeight="1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</row>
    <row r="613" ht="15.75" customHeight="1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</row>
    <row r="614" ht="15.75" customHeight="1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</row>
    <row r="615" ht="15.75" customHeight="1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</row>
    <row r="616" ht="15.75" customHeight="1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</row>
    <row r="617" ht="15.75" customHeight="1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</row>
    <row r="618" ht="15.75" customHeight="1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</row>
    <row r="619" ht="15.75" customHeight="1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</row>
    <row r="620" ht="15.75" customHeight="1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</row>
    <row r="621" ht="15.75" customHeight="1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</row>
    <row r="622" ht="15.75" customHeight="1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</row>
    <row r="623" ht="15.75" customHeight="1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</row>
    <row r="624" ht="15.75" customHeight="1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</row>
    <row r="625" ht="15.75" customHeight="1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</row>
    <row r="626" ht="15.75" customHeight="1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</row>
    <row r="627" ht="15.75" customHeight="1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</row>
    <row r="628" ht="15.75" customHeight="1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</row>
    <row r="629" ht="15.75" customHeight="1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</row>
    <row r="630" ht="15.75" customHeight="1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</row>
    <row r="631" ht="15.75" customHeight="1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</row>
    <row r="632" ht="15.75" customHeight="1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</row>
    <row r="633" ht="15.75" customHeight="1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</row>
    <row r="634" ht="15.75" customHeight="1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</row>
    <row r="635" ht="15.75" customHeight="1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</row>
    <row r="636" ht="15.75" customHeight="1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</row>
    <row r="637" ht="15.75" customHeight="1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</row>
    <row r="638" ht="15.75" customHeight="1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</row>
    <row r="639" ht="15.75" customHeight="1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</row>
    <row r="640" ht="15.75" customHeight="1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</row>
    <row r="641" ht="15.75" customHeight="1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</row>
    <row r="642" ht="15.75" customHeight="1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</row>
    <row r="643" ht="15.75" customHeight="1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</row>
    <row r="644" ht="15.75" customHeight="1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</row>
    <row r="645" ht="15.75" customHeight="1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</row>
    <row r="646" ht="15.75" customHeight="1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</row>
    <row r="647" ht="15.75" customHeight="1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</row>
    <row r="648" ht="15.75" customHeight="1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</row>
    <row r="649" ht="15.75" customHeight="1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</row>
    <row r="650" ht="15.75" customHeight="1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</row>
    <row r="651" ht="15.75" customHeight="1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</row>
    <row r="652" ht="15.75" customHeight="1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</row>
    <row r="653" ht="15.75" customHeight="1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</row>
    <row r="654" ht="15.75" customHeight="1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</row>
    <row r="655" ht="15.75" customHeight="1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</row>
    <row r="656" ht="15.75" customHeight="1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</row>
    <row r="657" ht="15.75" customHeight="1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</row>
    <row r="658" ht="15.75" customHeight="1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</row>
    <row r="659" ht="15.75" customHeight="1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</row>
    <row r="660" ht="15.75" customHeight="1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</row>
    <row r="661" ht="15.75" customHeight="1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</row>
    <row r="662" ht="15.75" customHeight="1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</row>
    <row r="663" ht="15.75" customHeight="1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</row>
    <row r="664" ht="15.75" customHeight="1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</row>
    <row r="665" ht="15.75" customHeight="1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</row>
    <row r="666" ht="15.75" customHeight="1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</row>
    <row r="667" ht="15.75" customHeight="1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</row>
    <row r="668" ht="15.75" customHeight="1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</row>
    <row r="669" ht="15.75" customHeight="1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</row>
    <row r="670" ht="15.75" customHeight="1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</row>
    <row r="671" ht="15.75" customHeight="1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</row>
    <row r="672" ht="15.75" customHeight="1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</row>
    <row r="673" ht="15.75" customHeight="1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</row>
    <row r="674" ht="15.75" customHeight="1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</row>
    <row r="675" ht="15.75" customHeight="1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</row>
    <row r="676" ht="15.75" customHeight="1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</row>
    <row r="677" ht="15.75" customHeight="1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</row>
    <row r="678" ht="15.75" customHeight="1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</row>
    <row r="679" ht="15.75" customHeight="1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</row>
    <row r="680" ht="15.75" customHeight="1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</row>
    <row r="681" ht="15.75" customHeight="1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</row>
    <row r="682" ht="15.75" customHeight="1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</row>
    <row r="683" ht="15.75" customHeight="1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</row>
    <row r="684" ht="15.75" customHeight="1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</row>
    <row r="685" ht="15.75" customHeight="1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</row>
    <row r="686" ht="15.75" customHeight="1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</row>
    <row r="687" ht="15.75" customHeight="1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</row>
    <row r="688" ht="15.75" customHeight="1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</row>
    <row r="689" ht="15.75" customHeight="1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</row>
    <row r="690" ht="15.75" customHeight="1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</row>
    <row r="691" ht="15.75" customHeight="1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</row>
    <row r="692" ht="15.75" customHeight="1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</row>
    <row r="693" ht="15.75" customHeight="1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</row>
    <row r="694" ht="15.75" customHeight="1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</row>
    <row r="695" ht="15.75" customHeight="1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</row>
    <row r="696" ht="15.75" customHeight="1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</row>
    <row r="697" ht="15.75" customHeight="1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</row>
    <row r="698" ht="15.75" customHeight="1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</row>
    <row r="699" ht="15.75" customHeight="1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</row>
    <row r="700" ht="15.75" customHeight="1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</row>
    <row r="701" ht="15.75" customHeight="1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</row>
    <row r="702" ht="15.75" customHeight="1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</row>
    <row r="703" ht="15.75" customHeight="1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</row>
    <row r="704" ht="15.75" customHeight="1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</row>
    <row r="705" ht="15.75" customHeight="1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</row>
    <row r="706" ht="15.75" customHeight="1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</row>
    <row r="707" ht="15.75" customHeight="1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</row>
    <row r="708" ht="15.75" customHeight="1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</row>
    <row r="709" ht="15.75" customHeight="1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</row>
    <row r="710" ht="15.75" customHeight="1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</row>
    <row r="711" ht="15.75" customHeight="1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</row>
    <row r="712" ht="15.75" customHeight="1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</row>
    <row r="713" ht="15.75" customHeight="1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</row>
    <row r="714" ht="15.75" customHeight="1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</row>
    <row r="715" ht="15.75" customHeight="1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</row>
    <row r="716" ht="15.75" customHeight="1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</row>
    <row r="717" ht="15.75" customHeight="1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</row>
    <row r="718" ht="15.75" customHeight="1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</row>
    <row r="719" ht="15.75" customHeight="1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</row>
    <row r="720" ht="15.75" customHeight="1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</row>
    <row r="721" ht="15.75" customHeight="1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</row>
    <row r="722" ht="15.75" customHeight="1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</row>
    <row r="723" ht="15.75" customHeight="1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</row>
    <row r="724" ht="15.75" customHeight="1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</row>
    <row r="725" ht="15.75" customHeight="1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</row>
    <row r="726" ht="15.75" customHeight="1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</row>
    <row r="727" ht="15.75" customHeight="1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</row>
    <row r="728" ht="15.75" customHeight="1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</row>
    <row r="729" ht="15.75" customHeight="1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</row>
    <row r="730" ht="15.75" customHeight="1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</row>
    <row r="731" ht="15.75" customHeight="1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</row>
    <row r="732" ht="15.75" customHeight="1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</row>
    <row r="733" ht="15.75" customHeight="1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</row>
    <row r="734" ht="15.75" customHeight="1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</row>
    <row r="735" ht="15.75" customHeight="1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</row>
    <row r="736" ht="15.75" customHeight="1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</row>
    <row r="737" ht="15.75" customHeight="1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</row>
    <row r="738" ht="15.75" customHeight="1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</row>
    <row r="739" ht="15.75" customHeight="1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</row>
    <row r="740" ht="15.75" customHeight="1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</row>
    <row r="741" ht="15.75" customHeight="1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</row>
    <row r="742" ht="15.75" customHeight="1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</row>
    <row r="743" ht="15.75" customHeight="1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</row>
    <row r="744" ht="15.75" customHeight="1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</row>
    <row r="745" ht="15.75" customHeight="1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</row>
    <row r="746" ht="15.75" customHeight="1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</row>
    <row r="747" ht="15.75" customHeight="1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</row>
    <row r="748" ht="15.75" customHeight="1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</row>
    <row r="749" ht="15.75" customHeight="1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</row>
    <row r="750" ht="15.75" customHeight="1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</row>
    <row r="751" ht="15.75" customHeight="1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</row>
    <row r="752" ht="15.75" customHeight="1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</row>
    <row r="753" ht="15.75" customHeight="1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</row>
    <row r="754" ht="15.75" customHeight="1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</row>
    <row r="755" ht="15.75" customHeight="1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</row>
    <row r="756" ht="15.75" customHeight="1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</row>
    <row r="757" ht="15.75" customHeight="1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</row>
    <row r="758" ht="15.75" customHeight="1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</row>
    <row r="759" ht="15.75" customHeight="1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</row>
    <row r="760" ht="15.75" customHeight="1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</row>
    <row r="761" ht="15.75" customHeight="1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</row>
    <row r="762" ht="15.75" customHeight="1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</row>
    <row r="763" ht="15.75" customHeight="1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</row>
    <row r="764" ht="15.75" customHeight="1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</row>
    <row r="765" ht="15.75" customHeight="1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</row>
    <row r="766" ht="15.75" customHeight="1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</row>
    <row r="767" ht="15.75" customHeight="1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</row>
    <row r="768" ht="15.75" customHeight="1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</row>
    <row r="769" ht="15.75" customHeight="1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</row>
    <row r="770" ht="15.75" customHeight="1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</row>
    <row r="771" ht="15.75" customHeight="1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</row>
    <row r="772" ht="15.75" customHeight="1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</row>
    <row r="773" ht="15.75" customHeight="1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</row>
    <row r="774" ht="15.75" customHeight="1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</row>
    <row r="775" ht="15.75" customHeight="1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</row>
    <row r="776" ht="15.75" customHeight="1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</row>
    <row r="777" ht="15.75" customHeight="1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</row>
    <row r="778" ht="15.75" customHeight="1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</row>
    <row r="779" ht="15.75" customHeight="1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</row>
    <row r="780" ht="15.75" customHeight="1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</row>
    <row r="781" ht="15.75" customHeight="1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</row>
    <row r="782" ht="15.75" customHeight="1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</row>
    <row r="783" ht="15.75" customHeight="1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</row>
    <row r="784" ht="15.75" customHeight="1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</row>
    <row r="785" ht="15.75" customHeight="1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</row>
    <row r="786" ht="15.75" customHeight="1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</row>
    <row r="787" ht="15.75" customHeight="1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</row>
    <row r="788" ht="15.75" customHeight="1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</row>
    <row r="789" ht="15.75" customHeight="1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</row>
    <row r="790" ht="15.75" customHeight="1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</row>
    <row r="791" ht="15.75" customHeight="1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</row>
    <row r="792" ht="15.75" customHeight="1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</row>
    <row r="793" ht="15.75" customHeight="1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</row>
    <row r="794" ht="15.75" customHeight="1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</row>
    <row r="795" ht="15.75" customHeight="1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</row>
    <row r="796" ht="15.75" customHeight="1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</row>
    <row r="797" ht="15.75" customHeight="1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</row>
    <row r="798" ht="15.75" customHeight="1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</row>
    <row r="799" ht="15.75" customHeight="1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</row>
    <row r="800" ht="15.75" customHeight="1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</row>
    <row r="801" ht="15.75" customHeight="1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</row>
    <row r="802" ht="15.75" customHeight="1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</row>
    <row r="803" ht="15.75" customHeight="1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</row>
    <row r="804" ht="15.75" customHeight="1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</row>
    <row r="805" ht="15.75" customHeight="1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</row>
    <row r="806" ht="15.75" customHeight="1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</row>
    <row r="807" ht="15.75" customHeight="1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</row>
    <row r="808" ht="15.75" customHeight="1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</row>
    <row r="809" ht="15.75" customHeight="1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</row>
    <row r="810" ht="15.75" customHeight="1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</row>
    <row r="811" ht="15.75" customHeight="1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</row>
    <row r="812" ht="15.75" customHeight="1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</row>
    <row r="813" ht="15.75" customHeight="1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</row>
    <row r="814" ht="15.75" customHeight="1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</row>
    <row r="815" ht="15.75" customHeight="1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</row>
    <row r="816" ht="15.75" customHeight="1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</row>
    <row r="817" ht="15.75" customHeight="1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</row>
    <row r="818" ht="15.75" customHeight="1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</row>
    <row r="819" ht="15.75" customHeight="1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</row>
    <row r="820" ht="15.75" customHeight="1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</row>
    <row r="821" ht="15.75" customHeight="1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</row>
    <row r="822" ht="15.75" customHeight="1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</row>
    <row r="823" ht="15.75" customHeight="1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</row>
    <row r="824" ht="15.75" customHeight="1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</row>
    <row r="825" ht="15.75" customHeight="1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</row>
    <row r="826" ht="15.75" customHeight="1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</row>
    <row r="827" ht="15.75" customHeight="1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</row>
    <row r="828" ht="15.75" customHeight="1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</row>
    <row r="829" ht="15.75" customHeight="1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</row>
    <row r="830" ht="15.75" customHeight="1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</row>
    <row r="831" ht="15.75" customHeight="1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</row>
    <row r="832" ht="15.75" customHeight="1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</row>
    <row r="833" ht="15.75" customHeight="1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</row>
    <row r="834" ht="15.75" customHeight="1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</row>
    <row r="835" ht="15.75" customHeight="1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</row>
    <row r="836" ht="15.75" customHeight="1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</row>
    <row r="837" ht="15.75" customHeight="1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</row>
    <row r="838" ht="15.75" customHeight="1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</row>
    <row r="839" ht="15.75" customHeight="1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</row>
    <row r="840" ht="15.75" customHeight="1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</row>
    <row r="841" ht="15.75" customHeight="1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</row>
    <row r="842" ht="15.75" customHeight="1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</row>
    <row r="843" ht="15.75" customHeight="1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</row>
    <row r="844" ht="15.75" customHeight="1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</row>
    <row r="845" ht="15.75" customHeight="1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</row>
    <row r="846" ht="15.75" customHeight="1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</row>
    <row r="847" ht="15.75" customHeight="1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</row>
    <row r="848" ht="15.75" customHeight="1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</row>
    <row r="849" ht="15.75" customHeight="1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</row>
    <row r="850" ht="15.75" customHeight="1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</row>
    <row r="851" ht="15.75" customHeight="1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</row>
    <row r="852" ht="15.75" customHeight="1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</row>
    <row r="853" ht="15.75" customHeight="1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</row>
    <row r="854" ht="15.75" customHeight="1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</row>
    <row r="855" ht="15.75" customHeight="1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</row>
    <row r="856" ht="15.75" customHeight="1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</row>
    <row r="857" ht="15.75" customHeight="1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</row>
    <row r="858" ht="15.75" customHeight="1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</row>
    <row r="859" ht="15.75" customHeight="1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</row>
    <row r="860" ht="15.75" customHeight="1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</row>
    <row r="861" ht="15.75" customHeight="1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</row>
    <row r="862" ht="15.75" customHeight="1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</row>
    <row r="863" ht="15.75" customHeight="1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</row>
    <row r="864" ht="15.75" customHeight="1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</row>
    <row r="865" ht="15.75" customHeight="1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</row>
    <row r="866" ht="15.75" customHeight="1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</row>
    <row r="867" ht="15.75" customHeight="1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</row>
    <row r="868" ht="15.75" customHeight="1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</row>
    <row r="869" ht="15.75" customHeight="1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</row>
    <row r="870" ht="15.75" customHeight="1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</row>
    <row r="871" ht="15.75" customHeight="1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</row>
    <row r="872" ht="15.75" customHeight="1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</row>
    <row r="873" ht="15.75" customHeight="1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</row>
    <row r="874" ht="15.75" customHeight="1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</row>
    <row r="875" ht="15.75" customHeight="1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</row>
    <row r="876" ht="15.75" customHeight="1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</row>
    <row r="877" ht="15.75" customHeight="1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</row>
    <row r="878" ht="15.75" customHeight="1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</row>
    <row r="879" ht="15.75" customHeight="1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</row>
    <row r="880" ht="15.75" customHeight="1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</row>
    <row r="881" ht="15.75" customHeight="1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</row>
    <row r="882" ht="15.75" customHeight="1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</row>
    <row r="883" ht="15.75" customHeight="1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</row>
    <row r="884" ht="15.75" customHeight="1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</row>
    <row r="885" ht="15.75" customHeight="1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</row>
    <row r="886" ht="15.75" customHeight="1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</row>
    <row r="887" ht="15.75" customHeight="1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</row>
    <row r="888" ht="15.75" customHeight="1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</row>
    <row r="889" ht="15.75" customHeight="1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</row>
    <row r="890" ht="15.75" customHeight="1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</row>
    <row r="891" ht="15.75" customHeight="1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</row>
    <row r="892" ht="15.75" customHeight="1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</row>
    <row r="893" ht="15.75" customHeight="1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</row>
    <row r="894" ht="15.75" customHeight="1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</row>
    <row r="895" ht="15.75" customHeight="1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</row>
    <row r="896" ht="15.75" customHeight="1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</row>
    <row r="897" ht="15.75" customHeight="1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</row>
    <row r="898" ht="15.75" customHeight="1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</row>
    <row r="899" ht="15.75" customHeight="1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</row>
    <row r="900" ht="15.75" customHeight="1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</row>
    <row r="901" ht="15.75" customHeight="1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</row>
    <row r="902" ht="15.75" customHeight="1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</row>
    <row r="903" ht="15.75" customHeight="1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</row>
    <row r="904" ht="15.75" customHeight="1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</row>
    <row r="905" ht="15.75" customHeight="1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</row>
    <row r="906" ht="15.75" customHeight="1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</row>
    <row r="907" ht="15.75" customHeight="1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</row>
    <row r="908" ht="15.75" customHeight="1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</row>
    <row r="909" ht="15.75" customHeight="1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</row>
    <row r="910" ht="15.75" customHeight="1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</row>
    <row r="911" ht="15.75" customHeight="1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</row>
    <row r="912" ht="15.75" customHeight="1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</row>
    <row r="913" ht="15.75" customHeight="1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</row>
    <row r="914" ht="15.75" customHeight="1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</row>
    <row r="915" ht="15.75" customHeight="1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</row>
    <row r="916" ht="15.75" customHeight="1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</row>
    <row r="917" ht="15.75" customHeight="1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</row>
    <row r="918" ht="15.75" customHeight="1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</row>
    <row r="919" ht="15.75" customHeight="1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</row>
    <row r="920" ht="15.75" customHeight="1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</row>
    <row r="921" ht="15.75" customHeight="1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</row>
    <row r="922" ht="15.75" customHeight="1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</row>
    <row r="923" ht="15.75" customHeight="1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</row>
    <row r="924" ht="15.75" customHeight="1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</row>
    <row r="925" ht="15.75" customHeight="1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</row>
    <row r="926" ht="15.75" customHeight="1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</row>
    <row r="927" ht="15.75" customHeight="1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</row>
    <row r="928" ht="15.75" customHeight="1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</row>
    <row r="929" ht="15.75" customHeight="1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</row>
    <row r="930" ht="15.75" customHeight="1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</row>
    <row r="931" ht="15.75" customHeight="1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</row>
    <row r="932" ht="15.75" customHeight="1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</row>
    <row r="933" ht="15.75" customHeight="1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</row>
    <row r="934" ht="15.75" customHeight="1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</row>
    <row r="935" ht="15.75" customHeight="1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</row>
    <row r="936" ht="15.75" customHeight="1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</row>
    <row r="937" ht="15.75" customHeight="1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</row>
    <row r="938" ht="15.75" customHeight="1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</row>
    <row r="939" ht="15.75" customHeight="1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</row>
    <row r="940" ht="15.75" customHeight="1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</row>
    <row r="941" ht="15.75" customHeight="1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</row>
    <row r="942" ht="15.75" customHeight="1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</row>
    <row r="943" ht="15.75" customHeight="1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</row>
    <row r="944" ht="15.75" customHeight="1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</row>
    <row r="945" ht="15.75" customHeight="1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</row>
    <row r="946" ht="15.75" customHeight="1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</row>
    <row r="947" ht="15.75" customHeight="1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</row>
    <row r="948" ht="15.75" customHeight="1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</row>
    <row r="949" ht="15.75" customHeight="1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</row>
    <row r="950" ht="15.75" customHeight="1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</row>
    <row r="951" ht="15.75" customHeight="1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</row>
    <row r="952" ht="15.75" customHeight="1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</row>
    <row r="953" ht="15.75" customHeight="1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</row>
    <row r="954" ht="15.75" customHeight="1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</row>
    <row r="955" ht="15.75" customHeight="1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</row>
    <row r="956" ht="15.75" customHeight="1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</row>
    <row r="957" ht="15.75" customHeight="1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</row>
    <row r="958" ht="15.75" customHeight="1">
      <c r="A958" s="78"/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78"/>
    </row>
    <row r="959" ht="15.75" customHeight="1">
      <c r="A959" s="78"/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  <c r="Z959" s="78"/>
    </row>
    <row r="960" ht="15.75" customHeight="1">
      <c r="A960" s="78"/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  <c r="Z960" s="78"/>
    </row>
    <row r="961" ht="15.75" customHeight="1">
      <c r="A961" s="78"/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  <c r="Z961" s="78"/>
    </row>
    <row r="962" ht="15.75" customHeight="1">
      <c r="A962" s="78"/>
      <c r="B962" s="78"/>
      <c r="C962" s="78"/>
      <c r="D962" s="78"/>
      <c r="E962" s="78"/>
      <c r="F962" s="78"/>
      <c r="G962" s="78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  <c r="W962" s="78"/>
      <c r="X962" s="78"/>
      <c r="Y962" s="78"/>
      <c r="Z962" s="78"/>
    </row>
    <row r="963" ht="15.75" customHeight="1">
      <c r="A963" s="78"/>
      <c r="B963" s="78"/>
      <c r="C963" s="78"/>
      <c r="D963" s="78"/>
      <c r="E963" s="78"/>
      <c r="F963" s="78"/>
      <c r="G963" s="78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8"/>
      <c r="Z963" s="78"/>
    </row>
    <row r="964" ht="15.75" customHeight="1">
      <c r="A964" s="78"/>
      <c r="B964" s="78"/>
      <c r="C964" s="78"/>
      <c r="D964" s="78"/>
      <c r="E964" s="78"/>
      <c r="F964" s="78"/>
      <c r="G964" s="78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  <c r="W964" s="78"/>
      <c r="X964" s="78"/>
      <c r="Y964" s="78"/>
      <c r="Z964" s="78"/>
    </row>
    <row r="965" ht="15.75" customHeight="1">
      <c r="A965" s="78"/>
      <c r="B965" s="78"/>
      <c r="C965" s="78"/>
      <c r="D965" s="78"/>
      <c r="E965" s="78"/>
      <c r="F965" s="78"/>
      <c r="G965" s="78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  <c r="W965" s="78"/>
      <c r="X965" s="78"/>
      <c r="Y965" s="78"/>
      <c r="Z965" s="78"/>
    </row>
    <row r="966" ht="15.75" customHeight="1">
      <c r="A966" s="78"/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  <c r="W966" s="78"/>
      <c r="X966" s="78"/>
      <c r="Y966" s="78"/>
      <c r="Z966" s="78"/>
    </row>
    <row r="967" ht="15.75" customHeight="1">
      <c r="A967" s="78"/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  <c r="W967" s="78"/>
      <c r="X967" s="78"/>
      <c r="Y967" s="78"/>
      <c r="Z967" s="78"/>
    </row>
    <row r="968" ht="15.75" customHeight="1">
      <c r="A968" s="78"/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  <c r="W968" s="78"/>
      <c r="X968" s="78"/>
      <c r="Y968" s="78"/>
      <c r="Z968" s="78"/>
    </row>
    <row r="969" ht="15.75" customHeight="1">
      <c r="A969" s="78"/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  <c r="W969" s="78"/>
      <c r="X969" s="78"/>
      <c r="Y969" s="78"/>
      <c r="Z969" s="78"/>
    </row>
    <row r="970" ht="15.75" customHeight="1">
      <c r="A970" s="78"/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  <c r="W970" s="78"/>
      <c r="X970" s="78"/>
      <c r="Y970" s="78"/>
      <c r="Z970" s="78"/>
    </row>
    <row r="971" ht="15.75" customHeight="1">
      <c r="A971" s="78"/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  <c r="W971" s="78"/>
      <c r="X971" s="78"/>
      <c r="Y971" s="78"/>
      <c r="Z971" s="78"/>
    </row>
    <row r="972" ht="15.75" customHeight="1">
      <c r="A972" s="78"/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  <c r="W972" s="78"/>
      <c r="X972" s="78"/>
      <c r="Y972" s="78"/>
      <c r="Z972" s="78"/>
    </row>
    <row r="973" ht="15.75" customHeight="1">
      <c r="A973" s="78"/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  <c r="W973" s="78"/>
      <c r="X973" s="78"/>
      <c r="Y973" s="78"/>
      <c r="Z973" s="78"/>
    </row>
    <row r="974" ht="15.75" customHeight="1">
      <c r="A974" s="78"/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  <c r="W974" s="78"/>
      <c r="X974" s="78"/>
      <c r="Y974" s="78"/>
      <c r="Z974" s="78"/>
    </row>
    <row r="975" ht="15.75" customHeight="1">
      <c r="A975" s="78"/>
      <c r="B975" s="78"/>
      <c r="C975" s="78"/>
      <c r="D975" s="78"/>
      <c r="E975" s="78"/>
      <c r="F975" s="78"/>
      <c r="G975" s="78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  <c r="W975" s="78"/>
      <c r="X975" s="78"/>
      <c r="Y975" s="78"/>
      <c r="Z975" s="78"/>
    </row>
    <row r="976" ht="15.75" customHeight="1">
      <c r="A976" s="78"/>
      <c r="B976" s="78"/>
      <c r="C976" s="78"/>
      <c r="D976" s="78"/>
      <c r="E976" s="78"/>
      <c r="F976" s="78"/>
      <c r="G976" s="78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  <c r="W976" s="78"/>
      <c r="X976" s="78"/>
      <c r="Y976" s="78"/>
      <c r="Z976" s="78"/>
    </row>
    <row r="977" ht="15.75" customHeight="1">
      <c r="A977" s="78"/>
      <c r="B977" s="78"/>
      <c r="C977" s="78"/>
      <c r="D977" s="78"/>
      <c r="E977" s="78"/>
      <c r="F977" s="78"/>
      <c r="G977" s="78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  <c r="W977" s="78"/>
      <c r="X977" s="78"/>
      <c r="Y977" s="78"/>
      <c r="Z977" s="78"/>
    </row>
    <row r="978" ht="15.75" customHeight="1">
      <c r="A978" s="78"/>
      <c r="B978" s="78"/>
      <c r="C978" s="78"/>
      <c r="D978" s="78"/>
      <c r="E978" s="78"/>
      <c r="F978" s="78"/>
      <c r="G978" s="78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  <c r="W978" s="78"/>
      <c r="X978" s="78"/>
      <c r="Y978" s="78"/>
      <c r="Z978" s="78"/>
    </row>
    <row r="979" ht="15.75" customHeight="1">
      <c r="A979" s="78"/>
      <c r="B979" s="78"/>
      <c r="C979" s="78"/>
      <c r="D979" s="78"/>
      <c r="E979" s="78"/>
      <c r="F979" s="78"/>
      <c r="G979" s="78"/>
      <c r="H979" s="78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  <c r="V979" s="78"/>
      <c r="W979" s="78"/>
      <c r="X979" s="78"/>
      <c r="Y979" s="78"/>
      <c r="Z979" s="78"/>
    </row>
    <row r="980" ht="15.75" customHeight="1">
      <c r="A980" s="78"/>
      <c r="B980" s="78"/>
      <c r="C980" s="78"/>
      <c r="D980" s="78"/>
      <c r="E980" s="78"/>
      <c r="F980" s="78"/>
      <c r="G980" s="78"/>
      <c r="H980" s="78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  <c r="V980" s="78"/>
      <c r="W980" s="78"/>
      <c r="X980" s="78"/>
      <c r="Y980" s="78"/>
      <c r="Z980" s="78"/>
    </row>
    <row r="981" ht="15.75" customHeight="1">
      <c r="A981" s="78"/>
      <c r="B981" s="78"/>
      <c r="C981" s="78"/>
      <c r="D981" s="78"/>
      <c r="E981" s="78"/>
      <c r="F981" s="78"/>
      <c r="G981" s="78"/>
      <c r="H981" s="78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  <c r="V981" s="78"/>
      <c r="W981" s="78"/>
      <c r="X981" s="78"/>
      <c r="Y981" s="78"/>
      <c r="Z981" s="78"/>
    </row>
    <row r="982" ht="15.75" customHeight="1">
      <c r="A982" s="78"/>
      <c r="B982" s="78"/>
      <c r="C982" s="78"/>
      <c r="D982" s="78"/>
      <c r="E982" s="78"/>
      <c r="F982" s="78"/>
      <c r="G982" s="78"/>
      <c r="H982" s="78"/>
      <c r="I982" s="78"/>
      <c r="J982" s="78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  <c r="V982" s="78"/>
      <c r="W982" s="78"/>
      <c r="X982" s="78"/>
      <c r="Y982" s="78"/>
      <c r="Z982" s="78"/>
    </row>
    <row r="983" ht="15.75" customHeight="1">
      <c r="A983" s="78"/>
      <c r="B983" s="78"/>
      <c r="C983" s="78"/>
      <c r="D983" s="78"/>
      <c r="E983" s="78"/>
      <c r="F983" s="78"/>
      <c r="G983" s="78"/>
      <c r="H983" s="78"/>
      <c r="I983" s="78"/>
      <c r="J983" s="78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  <c r="V983" s="78"/>
      <c r="W983" s="78"/>
      <c r="X983" s="78"/>
      <c r="Y983" s="78"/>
      <c r="Z983" s="78"/>
    </row>
    <row r="984" ht="15.75" customHeight="1">
      <c r="A984" s="78"/>
      <c r="B984" s="78"/>
      <c r="C984" s="78"/>
      <c r="D984" s="78"/>
      <c r="E984" s="78"/>
      <c r="F984" s="78"/>
      <c r="G984" s="78"/>
      <c r="H984" s="78"/>
      <c r="I984" s="78"/>
      <c r="J984" s="78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  <c r="V984" s="78"/>
      <c r="W984" s="78"/>
      <c r="X984" s="78"/>
      <c r="Y984" s="78"/>
      <c r="Z984" s="78"/>
    </row>
    <row r="985" ht="15.75" customHeight="1">
      <c r="A985" s="78"/>
      <c r="B985" s="78"/>
      <c r="C985" s="78"/>
      <c r="D985" s="78"/>
      <c r="E985" s="78"/>
      <c r="F985" s="78"/>
      <c r="G985" s="78"/>
      <c r="H985" s="78"/>
      <c r="I985" s="78"/>
      <c r="J985" s="78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  <c r="V985" s="78"/>
      <c r="W985" s="78"/>
      <c r="X985" s="78"/>
      <c r="Y985" s="78"/>
      <c r="Z985" s="78"/>
    </row>
    <row r="986" ht="15.75" customHeight="1">
      <c r="A986" s="78"/>
      <c r="B986" s="78"/>
      <c r="C986" s="78"/>
      <c r="D986" s="78"/>
      <c r="E986" s="78"/>
      <c r="F986" s="78"/>
      <c r="G986" s="78"/>
      <c r="H986" s="78"/>
      <c r="I986" s="78"/>
      <c r="J986" s="78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  <c r="V986" s="78"/>
      <c r="W986" s="78"/>
      <c r="X986" s="78"/>
      <c r="Y986" s="78"/>
      <c r="Z986" s="78"/>
    </row>
    <row r="987" ht="15.75" customHeight="1">
      <c r="A987" s="78"/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  <c r="V987" s="78"/>
      <c r="W987" s="78"/>
      <c r="X987" s="78"/>
      <c r="Y987" s="78"/>
      <c r="Z987" s="78"/>
    </row>
    <row r="988" ht="15.75" customHeight="1">
      <c r="A988" s="78"/>
      <c r="B988" s="78"/>
      <c r="C988" s="78"/>
      <c r="D988" s="78"/>
      <c r="E988" s="78"/>
      <c r="F988" s="78"/>
      <c r="G988" s="78"/>
      <c r="H988" s="78"/>
      <c r="I988" s="78"/>
      <c r="J988" s="78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  <c r="V988" s="78"/>
      <c r="W988" s="78"/>
      <c r="X988" s="78"/>
      <c r="Y988" s="78"/>
      <c r="Z988" s="78"/>
    </row>
    <row r="989" ht="15.75" customHeight="1">
      <c r="A989" s="78"/>
      <c r="B989" s="78"/>
      <c r="C989" s="78"/>
      <c r="D989" s="78"/>
      <c r="E989" s="78"/>
      <c r="F989" s="78"/>
      <c r="G989" s="78"/>
      <c r="H989" s="78"/>
      <c r="I989" s="78"/>
      <c r="J989" s="78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  <c r="V989" s="78"/>
      <c r="W989" s="78"/>
      <c r="X989" s="78"/>
      <c r="Y989" s="78"/>
      <c r="Z989" s="78"/>
    </row>
    <row r="990" ht="15.75" customHeight="1">
      <c r="A990" s="78"/>
      <c r="B990" s="78"/>
      <c r="C990" s="78"/>
      <c r="D990" s="78"/>
      <c r="E990" s="78"/>
      <c r="F990" s="78"/>
      <c r="G990" s="78"/>
      <c r="H990" s="78"/>
      <c r="I990" s="78"/>
      <c r="J990" s="78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  <c r="V990" s="78"/>
      <c r="W990" s="78"/>
      <c r="X990" s="78"/>
      <c r="Y990" s="78"/>
      <c r="Z990" s="78"/>
    </row>
    <row r="991" ht="15.75" customHeight="1">
      <c r="A991" s="78"/>
      <c r="B991" s="78"/>
      <c r="C991" s="78"/>
      <c r="D991" s="78"/>
      <c r="E991" s="78"/>
      <c r="F991" s="78"/>
      <c r="G991" s="78"/>
      <c r="H991" s="78"/>
      <c r="I991" s="78"/>
      <c r="J991" s="78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  <c r="V991" s="78"/>
      <c r="W991" s="78"/>
      <c r="X991" s="78"/>
      <c r="Y991" s="78"/>
      <c r="Z991" s="78"/>
    </row>
    <row r="992" ht="15.75" customHeight="1">
      <c r="A992" s="78"/>
      <c r="B992" s="78"/>
      <c r="C992" s="78"/>
      <c r="D992" s="78"/>
      <c r="E992" s="78"/>
      <c r="F992" s="78"/>
      <c r="G992" s="78"/>
      <c r="H992" s="78"/>
      <c r="I992" s="78"/>
      <c r="J992" s="78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  <c r="V992" s="78"/>
      <c r="W992" s="78"/>
      <c r="X992" s="78"/>
      <c r="Y992" s="78"/>
      <c r="Z992" s="78"/>
    </row>
    <row r="993" ht="15.75" customHeight="1">
      <c r="A993" s="78"/>
      <c r="B993" s="78"/>
      <c r="C993" s="78"/>
      <c r="D993" s="78"/>
      <c r="E993" s="78"/>
      <c r="F993" s="78"/>
      <c r="G993" s="78"/>
      <c r="H993" s="78"/>
      <c r="I993" s="78"/>
      <c r="J993" s="78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  <c r="V993" s="78"/>
      <c r="W993" s="78"/>
      <c r="X993" s="78"/>
      <c r="Y993" s="78"/>
      <c r="Z993" s="78"/>
    </row>
    <row r="994" ht="15.75" customHeight="1">
      <c r="A994" s="78"/>
      <c r="B994" s="78"/>
      <c r="C994" s="78"/>
      <c r="D994" s="78"/>
      <c r="E994" s="78"/>
      <c r="F994" s="78"/>
      <c r="G994" s="78"/>
      <c r="H994" s="78"/>
      <c r="I994" s="78"/>
      <c r="J994" s="78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  <c r="V994" s="78"/>
      <c r="W994" s="78"/>
      <c r="X994" s="78"/>
      <c r="Y994" s="78"/>
      <c r="Z994" s="78"/>
    </row>
    <row r="995" ht="15.75" customHeight="1">
      <c r="A995" s="78"/>
      <c r="B995" s="78"/>
      <c r="C995" s="78"/>
      <c r="D995" s="78"/>
      <c r="E995" s="78"/>
      <c r="F995" s="78"/>
      <c r="G995" s="78"/>
      <c r="H995" s="78"/>
      <c r="I995" s="78"/>
      <c r="J995" s="78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  <c r="V995" s="78"/>
      <c r="W995" s="78"/>
      <c r="X995" s="78"/>
      <c r="Y995" s="78"/>
      <c r="Z995" s="78"/>
    </row>
    <row r="996" ht="15.75" customHeight="1">
      <c r="A996" s="78"/>
      <c r="B996" s="78"/>
      <c r="C996" s="78"/>
      <c r="D996" s="78"/>
      <c r="E996" s="78"/>
      <c r="F996" s="78"/>
      <c r="G996" s="78"/>
      <c r="H996" s="78"/>
      <c r="I996" s="78"/>
      <c r="J996" s="78"/>
      <c r="K996" s="78"/>
      <c r="L996" s="78"/>
      <c r="M996" s="78"/>
      <c r="N996" s="78"/>
      <c r="O996" s="78"/>
      <c r="P996" s="78"/>
      <c r="Q996" s="78"/>
      <c r="R996" s="78"/>
      <c r="S996" s="78"/>
      <c r="T996" s="78"/>
      <c r="U996" s="78"/>
      <c r="V996" s="78"/>
      <c r="W996" s="78"/>
      <c r="X996" s="78"/>
      <c r="Y996" s="78"/>
      <c r="Z996" s="78"/>
    </row>
    <row r="997" ht="15.75" customHeight="1">
      <c r="A997" s="78"/>
      <c r="B997" s="78"/>
      <c r="C997" s="78"/>
      <c r="D997" s="78"/>
      <c r="E997" s="78"/>
      <c r="F997" s="78"/>
      <c r="G997" s="78"/>
      <c r="H997" s="78"/>
      <c r="I997" s="78"/>
      <c r="J997" s="78"/>
      <c r="K997" s="78"/>
      <c r="L997" s="78"/>
      <c r="M997" s="78"/>
      <c r="N997" s="78"/>
      <c r="O997" s="78"/>
      <c r="P997" s="78"/>
      <c r="Q997" s="78"/>
      <c r="R997" s="78"/>
      <c r="S997" s="78"/>
      <c r="T997" s="78"/>
      <c r="U997" s="78"/>
      <c r="V997" s="78"/>
      <c r="W997" s="78"/>
      <c r="X997" s="78"/>
      <c r="Y997" s="78"/>
      <c r="Z997" s="78"/>
    </row>
    <row r="998" ht="15.75" customHeight="1">
      <c r="A998" s="78"/>
      <c r="B998" s="78"/>
      <c r="C998" s="78"/>
      <c r="D998" s="78"/>
      <c r="E998" s="78"/>
      <c r="F998" s="78"/>
      <c r="G998" s="78"/>
      <c r="H998" s="78"/>
      <c r="I998" s="78"/>
      <c r="J998" s="78"/>
      <c r="K998" s="78"/>
      <c r="L998" s="78"/>
      <c r="M998" s="78"/>
      <c r="N998" s="78"/>
      <c r="O998" s="78"/>
      <c r="P998" s="78"/>
      <c r="Q998" s="78"/>
      <c r="R998" s="78"/>
      <c r="S998" s="78"/>
      <c r="T998" s="78"/>
      <c r="U998" s="78"/>
      <c r="V998" s="78"/>
      <c r="W998" s="78"/>
      <c r="X998" s="78"/>
      <c r="Y998" s="78"/>
      <c r="Z998" s="78"/>
    </row>
    <row r="999" ht="15.75" customHeight="1">
      <c r="A999" s="78"/>
      <c r="B999" s="78"/>
      <c r="C999" s="78"/>
      <c r="D999" s="78"/>
      <c r="E999" s="78"/>
      <c r="F999" s="78"/>
      <c r="G999" s="78"/>
      <c r="H999" s="78"/>
      <c r="I999" s="78"/>
      <c r="J999" s="78"/>
      <c r="K999" s="78"/>
      <c r="L999" s="78"/>
      <c r="M999" s="78"/>
      <c r="N999" s="78"/>
      <c r="O999" s="78"/>
      <c r="P999" s="78"/>
      <c r="Q999" s="78"/>
      <c r="R999" s="78"/>
      <c r="S999" s="78"/>
      <c r="T999" s="78"/>
      <c r="U999" s="78"/>
      <c r="V999" s="78"/>
      <c r="W999" s="78"/>
      <c r="X999" s="78"/>
      <c r="Y999" s="78"/>
      <c r="Z999" s="78"/>
    </row>
    <row r="1000" ht="15.75" customHeight="1">
      <c r="A1000" s="78"/>
      <c r="B1000" s="78"/>
      <c r="C1000" s="78"/>
      <c r="D1000" s="78"/>
      <c r="E1000" s="78"/>
      <c r="F1000" s="78"/>
      <c r="G1000" s="78"/>
      <c r="H1000" s="78"/>
      <c r="I1000" s="78"/>
      <c r="J1000" s="78"/>
      <c r="K1000" s="78"/>
      <c r="L1000" s="78"/>
      <c r="M1000" s="78"/>
      <c r="N1000" s="78"/>
      <c r="O1000" s="78"/>
      <c r="P1000" s="78"/>
      <c r="Q1000" s="78"/>
      <c r="R1000" s="78"/>
      <c r="S1000" s="78"/>
      <c r="T1000" s="78"/>
      <c r="U1000" s="78"/>
      <c r="V1000" s="78"/>
      <c r="W1000" s="78"/>
      <c r="X1000" s="78"/>
      <c r="Y1000" s="78"/>
      <c r="Z1000" s="78"/>
    </row>
  </sheetData>
  <printOptions/>
  <pageMargins bottom="0.75" footer="0.0" header="0.0" left="0.7" right="0.7" top="0.75"/>
  <pageSetup orientation="landscape"/>
  <drawing r:id="rId1"/>
</worksheet>
</file>